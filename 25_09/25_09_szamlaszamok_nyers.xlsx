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zamlaszamok" sheetId="1" r:id="rId4"/>
    <sheet name="Szamlaszamok_nonduplicate" sheetId="2" r:id="rId5"/>
    <sheet name="Vizsgalati_artetelek" sheetId="3" r:id="rId6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<sst xmlns="http://schemas.openxmlformats.org/spreadsheetml/2006/main" uniqueCount="4270">
  <si>
    <t>Szamlazas/Szamlaszam</t>
  </si>
  <si>
    <t>Paciens/Nev</t>
  </si>
  <si>
    <t>Paciens/Azonosito</t>
  </si>
  <si>
    <t>Szamlazas/SzamlazasDatuma</t>
  </si>
  <si>
    <t>Szamlazas/NettoAr</t>
  </si>
  <si>
    <t>Szamlazas/Artetel</t>
  </si>
  <si>
    <t>HNG-2025-5809</t>
  </si>
  <si>
    <t>Rábai Krisztina Dr.</t>
  </si>
  <si>
    <t>083252864</t>
  </si>
  <si>
    <t>2025.09.15 10:06:00</t>
  </si>
  <si>
    <t>Alfa-fötoprotein (AFP)</t>
  </si>
  <si>
    <t>HNG-2025-5814</t>
  </si>
  <si>
    <t>Sós József Dr.</t>
  </si>
  <si>
    <t>039710419</t>
  </si>
  <si>
    <t>2025.09.15 10:55:00</t>
  </si>
  <si>
    <t>HNG-2025-5898</t>
  </si>
  <si>
    <t>Tóth Erzsébet Dr.</t>
  </si>
  <si>
    <t>075334019</t>
  </si>
  <si>
    <t>2025.09.19 09:25:00</t>
  </si>
  <si>
    <t>HNG-2025-5933</t>
  </si>
  <si>
    <t>Horváth Ágota Teréz Dr.</t>
  </si>
  <si>
    <t>078327920</t>
  </si>
  <si>
    <t>2025.09.22 11:33:00</t>
  </si>
  <si>
    <t>HNG-2025-5924</t>
  </si>
  <si>
    <t>Kiss Artúr Endre</t>
  </si>
  <si>
    <t>028578172</t>
  </si>
  <si>
    <t>2025.09.22 08:49:00</t>
  </si>
  <si>
    <t>Albumin</t>
  </si>
  <si>
    <t>HNG-2025-5956</t>
  </si>
  <si>
    <t>Kindelmann Dóra Kata Dr.</t>
  </si>
  <si>
    <t>092172300</t>
  </si>
  <si>
    <t>2025.09.24 07:25:00</t>
  </si>
  <si>
    <t>HNG-2025-5487</t>
  </si>
  <si>
    <t>Pat McCrea</t>
  </si>
  <si>
    <t>2025.09.01 13:54:00</t>
  </si>
  <si>
    <t>HNG-2025-5510</t>
  </si>
  <si>
    <t>Rácz Gabriella</t>
  </si>
  <si>
    <t>078476891</t>
  </si>
  <si>
    <t>2025.09.02 09:52:00</t>
  </si>
  <si>
    <t>HNG-2025-5591</t>
  </si>
  <si>
    <t>Majoros Viktória</t>
  </si>
  <si>
    <t>089671704</t>
  </si>
  <si>
    <t>2025.09.04 09:49:00</t>
  </si>
  <si>
    <t>Anti-Müllerian Hormon (AMH)</t>
  </si>
  <si>
    <t>HNG-2025-5920</t>
  </si>
  <si>
    <t>Barna Beáta</t>
  </si>
  <si>
    <t>089383597</t>
  </si>
  <si>
    <t>2025.09.22 08:05:00</t>
  </si>
  <si>
    <t>Amiláz</t>
  </si>
  <si>
    <t>HNG-2025-5941</t>
  </si>
  <si>
    <t>Kollmann Réka Zsuzsanna</t>
  </si>
  <si>
    <t>080414919</t>
  </si>
  <si>
    <t>2025.09.22 15:05:00</t>
  </si>
  <si>
    <t>HNG-2025-5830</t>
  </si>
  <si>
    <t>Karácsony Gábor Józsefné</t>
  </si>
  <si>
    <t>084711911</t>
  </si>
  <si>
    <t>2025.09.15 13:56:00</t>
  </si>
  <si>
    <t>HNG-2025-5854</t>
  </si>
  <si>
    <t>Török Levente</t>
  </si>
  <si>
    <t>2025.09.17 07:18:00</t>
  </si>
  <si>
    <t>HNG-2025-5775</t>
  </si>
  <si>
    <t>Kéri Viktor Bence</t>
  </si>
  <si>
    <t>040824039</t>
  </si>
  <si>
    <t>2025.09.12 11:44:00</t>
  </si>
  <si>
    <t>ALDI-2025-17</t>
  </si>
  <si>
    <t>Földing Anikó</t>
  </si>
  <si>
    <t>2025.09.30 07:22:00</t>
  </si>
  <si>
    <t>HNG-2025-5470</t>
  </si>
  <si>
    <t>Czipri-Mándi József Gábor</t>
  </si>
  <si>
    <t>041073924</t>
  </si>
  <si>
    <t>2025.09.01 09:22:00</t>
  </si>
  <si>
    <t>Anti-TPO</t>
  </si>
  <si>
    <t>HNG-2025-5621</t>
  </si>
  <si>
    <t>Krisán Andrea</t>
  </si>
  <si>
    <t>090480823</t>
  </si>
  <si>
    <t>2025.09.05 12:21:00</t>
  </si>
  <si>
    <t>HNG-2025-5624</t>
  </si>
  <si>
    <t>Dusekné Juranics Anikó</t>
  </si>
  <si>
    <t>082426345</t>
  </si>
  <si>
    <t>2025.09.05 14:08:00</t>
  </si>
  <si>
    <t>MAESZ-2025-2629</t>
  </si>
  <si>
    <t>Deák Veronika</t>
  </si>
  <si>
    <t>086107093</t>
  </si>
  <si>
    <t>2025.09.14 15:34:00</t>
  </si>
  <si>
    <t>HNG-2025-5788</t>
  </si>
  <si>
    <t>Halász-Kiss Judit</t>
  </si>
  <si>
    <t>086855550</t>
  </si>
  <si>
    <t>2025.09.15 07:16:00</t>
  </si>
  <si>
    <t>HNG-2025-5862</t>
  </si>
  <si>
    <t>Mikesy Álmos</t>
  </si>
  <si>
    <t>039500704</t>
  </si>
  <si>
    <t>2025.09.17 11:14:00</t>
  </si>
  <si>
    <t>HNG-2025-5922</t>
  </si>
  <si>
    <t>Kerti Dóra</t>
  </si>
  <si>
    <t>091765084</t>
  </si>
  <si>
    <t>2025.09.22 08:37:00</t>
  </si>
  <si>
    <t>SYNLAB - AST</t>
  </si>
  <si>
    <t>HNG-2025-5586</t>
  </si>
  <si>
    <t>Bokros Péter</t>
  </si>
  <si>
    <t>2025.09.04 08:47:00</t>
  </si>
  <si>
    <t>Direkt bilirubin</t>
  </si>
  <si>
    <t>HNG-2025-5467</t>
  </si>
  <si>
    <t>Győri György Gyula</t>
  </si>
  <si>
    <t>2025.09.01 08:44:00</t>
  </si>
  <si>
    <t>Totál bilirubin</t>
  </si>
  <si>
    <t>HNG-2025-5959</t>
  </si>
  <si>
    <t>Selmeci Zsolt</t>
  </si>
  <si>
    <t>017939553</t>
  </si>
  <si>
    <t>2025.09.24 09:20:00</t>
  </si>
  <si>
    <t>HNG-2025-5980</t>
  </si>
  <si>
    <t>Kanyó Gábor</t>
  </si>
  <si>
    <t>028393014</t>
  </si>
  <si>
    <t>2025.09.25 09:14:00</t>
  </si>
  <si>
    <t>HNG-2025-6025</t>
  </si>
  <si>
    <t>Rátonyi-Máté Judit</t>
  </si>
  <si>
    <t>085937088</t>
  </si>
  <si>
    <t>2025.09.29 09:27:00</t>
  </si>
  <si>
    <t>CEA</t>
  </si>
  <si>
    <t>MAESZ-2025-2612</t>
  </si>
  <si>
    <t>Pappné Nagy Ilona</t>
  </si>
  <si>
    <t>065641716</t>
  </si>
  <si>
    <t>2025.09.13 13:28:00</t>
  </si>
  <si>
    <t>MAESZ-2025-2609</t>
  </si>
  <si>
    <t>Keresztes Józsefné</t>
  </si>
  <si>
    <t>057880295</t>
  </si>
  <si>
    <t>2025.09.13 09:01:00</t>
  </si>
  <si>
    <t>HNG-2025-5768</t>
  </si>
  <si>
    <t>Vidos Rita Dr.</t>
  </si>
  <si>
    <t>081430879</t>
  </si>
  <si>
    <t>2025.09.12 10:47:00</t>
  </si>
  <si>
    <t>HNG-2025-5668</t>
  </si>
  <si>
    <t>Tömösváry Tímea</t>
  </si>
  <si>
    <t>082983251</t>
  </si>
  <si>
    <t>2025.09.09 08:43:00</t>
  </si>
  <si>
    <t>C reaktív protein (CRP)</t>
  </si>
  <si>
    <t>HNG-2025-5685</t>
  </si>
  <si>
    <t>Szabó Edina Dr.</t>
  </si>
  <si>
    <t>079379173</t>
  </si>
  <si>
    <t>2025.09.09 14:08:00</t>
  </si>
  <si>
    <t>HNG-2025-5509</t>
  </si>
  <si>
    <t>Pájerné Dr. Ferencz Mónika Éva</t>
  </si>
  <si>
    <t>087184446</t>
  </si>
  <si>
    <t>2025.09.02 09:45:00</t>
  </si>
  <si>
    <t>HNG-2025-5579</t>
  </si>
  <si>
    <t>Kovácsné Pap Anita Krisztina</t>
  </si>
  <si>
    <t>082387659</t>
  </si>
  <si>
    <t>2025.09.03 14:59:00</t>
  </si>
  <si>
    <t>HNG-2025-5850</t>
  </si>
  <si>
    <t>Berecz István</t>
  </si>
  <si>
    <t>044179252</t>
  </si>
  <si>
    <t>2025.09.16 11:31:00</t>
  </si>
  <si>
    <t>HNG-2025-5917</t>
  </si>
  <si>
    <t>Molnár Gézáné</t>
  </si>
  <si>
    <t>076655250</t>
  </si>
  <si>
    <t>2025.09.19 14:58:00</t>
  </si>
  <si>
    <t>HNG-2025-5974</t>
  </si>
  <si>
    <t>Vikor Zoltánné</t>
  </si>
  <si>
    <t>076324239</t>
  </si>
  <si>
    <t>2025.09.24 15:06:00</t>
  </si>
  <si>
    <t>HNG-2025-5948</t>
  </si>
  <si>
    <t>Sztudényi Noémi</t>
  </si>
  <si>
    <t>080121460</t>
  </si>
  <si>
    <t>2025.09.23 10:10:00</t>
  </si>
  <si>
    <t>MAESZ-2025-2828</t>
  </si>
  <si>
    <t>Horváth Tibor</t>
  </si>
  <si>
    <t>032216020</t>
  </si>
  <si>
    <t>2025.09.29 13:56:00</t>
  </si>
  <si>
    <t>HNG-2025-5981</t>
  </si>
  <si>
    <t>Hargitainé Dr. Béky Andrea</t>
  </si>
  <si>
    <t>075558213</t>
  </si>
  <si>
    <t>2025.09.25 09:42:00</t>
  </si>
  <si>
    <t>HNG-2025-6011</t>
  </si>
  <si>
    <t>Lévárdi Ferenc Dr.</t>
  </si>
  <si>
    <t>035498069</t>
  </si>
  <si>
    <t>2025.09.26 10:54:00</t>
  </si>
  <si>
    <t>Cyfra 21-1</t>
  </si>
  <si>
    <t>HNG-2025-5468</t>
  </si>
  <si>
    <t>Őrné Szabó Éva</t>
  </si>
  <si>
    <t>075099248</t>
  </si>
  <si>
    <t>2025.09.01 09:06:00</t>
  </si>
  <si>
    <t>Csontsűrűség mérés</t>
  </si>
  <si>
    <t>JASZ-2025-180</t>
  </si>
  <si>
    <t>Csapó Ildikó</t>
  </si>
  <si>
    <t>071184207</t>
  </si>
  <si>
    <t>2025.09.01 12:25:00</t>
  </si>
  <si>
    <t>D-vitamin (25-OH)</t>
  </si>
  <si>
    <t>HNG-2025-5910</t>
  </si>
  <si>
    <t>Székely Gabriella Dr.</t>
  </si>
  <si>
    <t>076252859</t>
  </si>
  <si>
    <t>2025.09.19 11:56:00</t>
  </si>
  <si>
    <t>HNG-2025-5949</t>
  </si>
  <si>
    <t>Zágon Orsolya Dr.</t>
  </si>
  <si>
    <t>090250129</t>
  </si>
  <si>
    <t>2025.09.23 10:14:00</t>
  </si>
  <si>
    <t>JASZ-2025-283</t>
  </si>
  <si>
    <t>Kovács Réka</t>
  </si>
  <si>
    <t>2025.09.30 09:29:00</t>
  </si>
  <si>
    <t>HNG-2025-6053</t>
  </si>
  <si>
    <t>Lamper Orsolya</t>
  </si>
  <si>
    <t>088348580</t>
  </si>
  <si>
    <t>2025.09.30 08:44:00</t>
  </si>
  <si>
    <t>Ferritin</t>
  </si>
  <si>
    <t>HNG-2025-6043</t>
  </si>
  <si>
    <t>Varga Diána</t>
  </si>
  <si>
    <t>082724861</t>
  </si>
  <si>
    <t>2025.09.29 15:07:00</t>
  </si>
  <si>
    <t>MAESZ-2025-2600</t>
  </si>
  <si>
    <t>Fegyveres Judit</t>
  </si>
  <si>
    <t>086844581</t>
  </si>
  <si>
    <t>2025.09.12 10:46:00</t>
  </si>
  <si>
    <t>Gamma GT (GGT)</t>
  </si>
  <si>
    <t>HNG-2025-5728</t>
  </si>
  <si>
    <t>Halmy Péter Ádám</t>
  </si>
  <si>
    <t>044265746</t>
  </si>
  <si>
    <t>2025.09.11 08:26:00</t>
  </si>
  <si>
    <t>HNG-2025-5683</t>
  </si>
  <si>
    <t>Srámli Ildikó</t>
  </si>
  <si>
    <t>081337060</t>
  </si>
  <si>
    <t>2025.09.09 13:58:00</t>
  </si>
  <si>
    <t>MAESZ-2025-2789</t>
  </si>
  <si>
    <t>Imre Istvánné</t>
  </si>
  <si>
    <t>072209284</t>
  </si>
  <si>
    <t>2025.09.28 13:16:00</t>
  </si>
  <si>
    <t>SYNLAB - GOT</t>
  </si>
  <si>
    <t>GPT (ALAT)</t>
  </si>
  <si>
    <t>Hemoglobin A1c (HbA1c)</t>
  </si>
  <si>
    <t>HNG-2025-6039</t>
  </si>
  <si>
    <t>Barics György</t>
  </si>
  <si>
    <t>027386332</t>
  </si>
  <si>
    <t>2025.09.29 12:56:00</t>
  </si>
  <si>
    <t>HNG-2025-5916</t>
  </si>
  <si>
    <t>Antalné Kecskés Krisztina Katalin</t>
  </si>
  <si>
    <t>078749478</t>
  </si>
  <si>
    <t>2025.09.19 14:44:00</t>
  </si>
  <si>
    <t>HNG-2025-5966</t>
  </si>
  <si>
    <t>Kovács Tamásné Dr.</t>
  </si>
  <si>
    <t>084410432</t>
  </si>
  <si>
    <t>2025.09.24 11:27:00</t>
  </si>
  <si>
    <t>HNG-2025-5906</t>
  </si>
  <si>
    <t>Hirtling Ibolya Dr.</t>
  </si>
  <si>
    <t>079426765</t>
  </si>
  <si>
    <t>2025.09.19 11:25:00</t>
  </si>
  <si>
    <t>MAESZ-2025-2536</t>
  </si>
  <si>
    <t>Horváth Matild</t>
  </si>
  <si>
    <t>072914418</t>
  </si>
  <si>
    <t>2025.09.03 13:29:00</t>
  </si>
  <si>
    <t>HNG-2025-5706</t>
  </si>
  <si>
    <t>Michaelisz Gáborné</t>
  </si>
  <si>
    <t>078255818</t>
  </si>
  <si>
    <t>2025.09.10 09:59:00</t>
  </si>
  <si>
    <t>HNG-2025-5556</t>
  </si>
  <si>
    <t>Deliné Vajdai Zsuzsanna</t>
  </si>
  <si>
    <t>074678794</t>
  </si>
  <si>
    <t>2025.09.03 09:50:00</t>
  </si>
  <si>
    <t>Herpes simplex vírus (HSV) 1,2 elleni antitestek (IgG, IgM)</t>
  </si>
  <si>
    <t>MAESZ-2025-2580</t>
  </si>
  <si>
    <t>Somodi Anikó</t>
  </si>
  <si>
    <t>077901206</t>
  </si>
  <si>
    <t>2025.09.08 10:52:00</t>
  </si>
  <si>
    <t>Hisztamin intolerancia (DAO)</t>
  </si>
  <si>
    <t>MAESZ-2025-2586</t>
  </si>
  <si>
    <t>Adamekné Tannert Ildikó</t>
  </si>
  <si>
    <t>077704753</t>
  </si>
  <si>
    <t>2025.09.08 13:08:00</t>
  </si>
  <si>
    <t>MAESZ-2025-2601</t>
  </si>
  <si>
    <t>Börcsök Krisztina</t>
  </si>
  <si>
    <t>082892126</t>
  </si>
  <si>
    <t>2025.09.12 11:09:00</t>
  </si>
  <si>
    <t>MAESZ-2025-2632</t>
  </si>
  <si>
    <t>Kollár Veronika</t>
  </si>
  <si>
    <t>080609142</t>
  </si>
  <si>
    <t>2025.09.19 09:38:00</t>
  </si>
  <si>
    <t>MAESZ-2025-2850</t>
  </si>
  <si>
    <t>Németh Krisztina</t>
  </si>
  <si>
    <t>087728053</t>
  </si>
  <si>
    <t>2025.09.30 12:36:00</t>
  </si>
  <si>
    <t>HNG-2025-5780</t>
  </si>
  <si>
    <t>Egri Dominika</t>
  </si>
  <si>
    <t>2025.09.12 13:20:00</t>
  </si>
  <si>
    <t>HIV-1,2 elleni antitestek, HIV 1 antigén</t>
  </si>
  <si>
    <t>HNG-2025-5781</t>
  </si>
  <si>
    <t>Herczegh Eszter Krisztina</t>
  </si>
  <si>
    <t>088243478</t>
  </si>
  <si>
    <t>2025.09.12 13:33:00</t>
  </si>
  <si>
    <t>Homocisztein</t>
  </si>
  <si>
    <t>Húgysav</t>
  </si>
  <si>
    <t>Protrombin (INR)</t>
  </si>
  <si>
    <t>Kálium (K)</t>
  </si>
  <si>
    <t>MAESZ-2025-2674</t>
  </si>
  <si>
    <t>Dr. Greiner Erika</t>
  </si>
  <si>
    <t>2025.09.20 15:33:00</t>
  </si>
  <si>
    <t>HNG-2025-5895</t>
  </si>
  <si>
    <t>Hliva Zoltán</t>
  </si>
  <si>
    <t>2025.09.19 09:09:00</t>
  </si>
  <si>
    <t>Karbamid</t>
  </si>
  <si>
    <t>MAESZ-2025-2785</t>
  </si>
  <si>
    <t>Kapronczai József Györgyné</t>
  </si>
  <si>
    <t>069652907</t>
  </si>
  <si>
    <t>2025.09.28 10:35:00</t>
  </si>
  <si>
    <t>HDL-koleszterin</t>
  </si>
  <si>
    <t>MAESZ-2025-2823</t>
  </si>
  <si>
    <t>Kakuk Bettina</t>
  </si>
  <si>
    <t>089247163</t>
  </si>
  <si>
    <t>2025.09.29 13:08:00</t>
  </si>
  <si>
    <t>LDL-koleszterin</t>
  </si>
  <si>
    <t>HNG-2025-5729</t>
  </si>
  <si>
    <t>Ambrus-Wappler Andrea</t>
  </si>
  <si>
    <t>085491979</t>
  </si>
  <si>
    <t>2025.09.11 08:35:00</t>
  </si>
  <si>
    <t>Kortizol (szérum)</t>
  </si>
  <si>
    <t>HNG-2025-5517</t>
  </si>
  <si>
    <t>Baldauf Csaba</t>
  </si>
  <si>
    <t>027160907</t>
  </si>
  <si>
    <t>2025.09.02 11:26:00</t>
  </si>
  <si>
    <t>HNG-2025-5545</t>
  </si>
  <si>
    <t>Szarvas-Ujváry Enikő</t>
  </si>
  <si>
    <t>089859818</t>
  </si>
  <si>
    <t>2025.09.03 07:26:00</t>
  </si>
  <si>
    <t>HNG-2025-5847</t>
  </si>
  <si>
    <t>Pajor Tünde</t>
  </si>
  <si>
    <t>086920508</t>
  </si>
  <si>
    <t>2025.09.16 09:24:00</t>
  </si>
  <si>
    <t>MAESZ-2025-2793</t>
  </si>
  <si>
    <t>2025.09.29 07:24:00</t>
  </si>
  <si>
    <t>MAESZ-2025-2794</t>
  </si>
  <si>
    <t>2025.09.29 07:28:00</t>
  </si>
  <si>
    <t>MAESZ-2025-2795</t>
  </si>
  <si>
    <t>2025.09.29 07:30:00</t>
  </si>
  <si>
    <t>MAESZ-2025-2796</t>
  </si>
  <si>
    <t>HNG-2025-6020</t>
  </si>
  <si>
    <t>2025.09.29 07:42:00</t>
  </si>
  <si>
    <t>Kreatinin</t>
  </si>
  <si>
    <t>MAESZ-2025-2608</t>
  </si>
  <si>
    <t>Czuczor Józsefné</t>
  </si>
  <si>
    <t>071853918</t>
  </si>
  <si>
    <t>2025.09.12 13:48:00</t>
  </si>
  <si>
    <t>HNG-2025-5705</t>
  </si>
  <si>
    <t>Dr. Fehér Zoltán</t>
  </si>
  <si>
    <t>035621317</t>
  </si>
  <si>
    <t>2025.09.10 09:58:00</t>
  </si>
  <si>
    <t>Luteinizáló Hormon (LH)</t>
  </si>
  <si>
    <t>HNG-2025-5891</t>
  </si>
  <si>
    <t>Kriskó Ágnes Dr.</t>
  </si>
  <si>
    <t>092974458</t>
  </si>
  <si>
    <t>2025.09.19 07:17:00</t>
  </si>
  <si>
    <t>Lipáz</t>
  </si>
  <si>
    <t>HNG-2025-5717</t>
  </si>
  <si>
    <t>Juhász Tekla</t>
  </si>
  <si>
    <t>089167887</t>
  </si>
  <si>
    <t>2025.09.10 13:23:00</t>
  </si>
  <si>
    <t>Lőfegyver jogosítvány</t>
  </si>
  <si>
    <t>RPR, TPHA (szifilisz szerológia)</t>
  </si>
  <si>
    <t>Magnézium (Mg)</t>
  </si>
  <si>
    <t>MAESZ-2025-2771</t>
  </si>
  <si>
    <t>Török Gábor</t>
  </si>
  <si>
    <t>030343373</t>
  </si>
  <si>
    <t>2025.09.27 10:56:00</t>
  </si>
  <si>
    <t>HNG-2025-5493</t>
  </si>
  <si>
    <t>Koncsol Péter Attila</t>
  </si>
  <si>
    <t>043069730</t>
  </si>
  <si>
    <t>2025.09.01 14:34:00</t>
  </si>
  <si>
    <t>Mellkas röntgen</t>
  </si>
  <si>
    <t>HNG-2025-5859</t>
  </si>
  <si>
    <t>Papp-Maglai Mária</t>
  </si>
  <si>
    <t>2025.09.17 09:58:00</t>
  </si>
  <si>
    <t>HNG-2025-5860</t>
  </si>
  <si>
    <t>Schiller Judit Ágota</t>
  </si>
  <si>
    <t>2025.09.17 10:02:00</t>
  </si>
  <si>
    <t>HNG-2025-5861</t>
  </si>
  <si>
    <t>Pataki Zsuzsanna</t>
  </si>
  <si>
    <t>091623744</t>
  </si>
  <si>
    <t>2025.09.17 10:43:00</t>
  </si>
  <si>
    <t>HNG-2025-5865</t>
  </si>
  <si>
    <t>Horváth Zsófia Katalin</t>
  </si>
  <si>
    <t>2025.09.17 11:53:00</t>
  </si>
  <si>
    <t>HNG-2025-5867</t>
  </si>
  <si>
    <t>Varga Zsejke Réka</t>
  </si>
  <si>
    <t>2025.09.17 13:15:00</t>
  </si>
  <si>
    <t>HNG-2025-5868</t>
  </si>
  <si>
    <t>Nagy Csaba</t>
  </si>
  <si>
    <t>2025.09.18 07:28:00</t>
  </si>
  <si>
    <t>HNG-2025-5869</t>
  </si>
  <si>
    <t>Ludvig Bianka</t>
  </si>
  <si>
    <t>2025.09.18 07:54:00</t>
  </si>
  <si>
    <t>HNG-2025-5870</t>
  </si>
  <si>
    <t>Safarnourollah Najafabadi Fahimeh</t>
  </si>
  <si>
    <t>2025.09.18 08:38:00</t>
  </si>
  <si>
    <t>HNG-2025-5871</t>
  </si>
  <si>
    <t>Sóber Gergely</t>
  </si>
  <si>
    <t>040509192</t>
  </si>
  <si>
    <t>2025.09.18 08:52:00</t>
  </si>
  <si>
    <t>HNG-2025-5872</t>
  </si>
  <si>
    <t>Balázsik Anikó Erzsébet</t>
  </si>
  <si>
    <t>081221697</t>
  </si>
  <si>
    <t>2025.09.18 09:01:00</t>
  </si>
  <si>
    <t>HNG-2025-5875</t>
  </si>
  <si>
    <t>Horányi Johanna</t>
  </si>
  <si>
    <t>079323839</t>
  </si>
  <si>
    <t>2025.09.18 09:36:00</t>
  </si>
  <si>
    <t>HNG-2025-5876</t>
  </si>
  <si>
    <t>Hamza Julianna</t>
  </si>
  <si>
    <t>086105862</t>
  </si>
  <si>
    <t>2025.09.18 09:42:00</t>
  </si>
  <si>
    <t>HNG-2025-5890</t>
  </si>
  <si>
    <t>Mok Jinhyeung</t>
  </si>
  <si>
    <t>2025.09.18 15:31:00</t>
  </si>
  <si>
    <t>HNG-2025-5889</t>
  </si>
  <si>
    <t>Hugyecz Dorina</t>
  </si>
  <si>
    <t>HNG-2025-5880</t>
  </si>
  <si>
    <t>Hoang Minh Huy</t>
  </si>
  <si>
    <t>2025.09.18 10:39:00</t>
  </si>
  <si>
    <t>HNG-2025-5881</t>
  </si>
  <si>
    <t>Ho Nguyen Cuong</t>
  </si>
  <si>
    <t>C7346753</t>
  </si>
  <si>
    <t>2025.09.18 10:50:00</t>
  </si>
  <si>
    <t>HNG-2025-5882</t>
  </si>
  <si>
    <t>Kupecz Noémi Viktória</t>
  </si>
  <si>
    <t>2025.09.18 11:08:00</t>
  </si>
  <si>
    <t>HNG-2025-5885</t>
  </si>
  <si>
    <t>Horváth Klementina</t>
  </si>
  <si>
    <t>2025.09.18 12:52:00</t>
  </si>
  <si>
    <t>HNG-2025-5855</t>
  </si>
  <si>
    <t>Fábik Ildikó</t>
  </si>
  <si>
    <t>075175519</t>
  </si>
  <si>
    <t>2025.09.17 07:24:00</t>
  </si>
  <si>
    <t>HNG-2025-5852</t>
  </si>
  <si>
    <t>Szabó Attila</t>
  </si>
  <si>
    <t>029491065</t>
  </si>
  <si>
    <t>2025.09.16 13:12:00</t>
  </si>
  <si>
    <t>HNG-2025-5853</t>
  </si>
  <si>
    <t>Skoblei Kristian</t>
  </si>
  <si>
    <t>2025.09.16 14:20:00</t>
  </si>
  <si>
    <t>HNG-2025-5857</t>
  </si>
  <si>
    <t>Takhssaoui Wafaa</t>
  </si>
  <si>
    <t>2025.09.17 08:44:00</t>
  </si>
  <si>
    <t>HNG-2025-5829</t>
  </si>
  <si>
    <t>Puja Csaba</t>
  </si>
  <si>
    <t>032111705</t>
  </si>
  <si>
    <t>2025.09.15 13:55:00</t>
  </si>
  <si>
    <t>HNG-2025-5844</t>
  </si>
  <si>
    <t>Driss Tachfouti</t>
  </si>
  <si>
    <t>2025.09.16 08:30:00</t>
  </si>
  <si>
    <t>HNG-2025-5848</t>
  </si>
  <si>
    <t>Bénecz Katinka</t>
  </si>
  <si>
    <t>2025.09.16 10:12:00</t>
  </si>
  <si>
    <t>HNG-2025-5849</t>
  </si>
  <si>
    <t>2025.09.16 10:40:00</t>
  </si>
  <si>
    <t>HNG-2025-5846</t>
  </si>
  <si>
    <t>Kiss Márk</t>
  </si>
  <si>
    <t>044835983</t>
  </si>
  <si>
    <t>2025.09.16 09:05:00</t>
  </si>
  <si>
    <t>HNG-2025-5903</t>
  </si>
  <si>
    <t>Lakatosné Kátai Cintia Éva</t>
  </si>
  <si>
    <t>2025.09.19 10:10:00</t>
  </si>
  <si>
    <t>HNG-2025-5900</t>
  </si>
  <si>
    <t>Majer Renáta</t>
  </si>
  <si>
    <t>091451219</t>
  </si>
  <si>
    <t>2025.09.19 09:59:00</t>
  </si>
  <si>
    <t>HNG-2025-5892</t>
  </si>
  <si>
    <t>Bognár Dorina</t>
  </si>
  <si>
    <t>2025.09.19 07:25:00</t>
  </si>
  <si>
    <t>HNG-2025-5893</t>
  </si>
  <si>
    <t>Murvay Franciska Katalin</t>
  </si>
  <si>
    <t>2025.09.19 08:13:00</t>
  </si>
  <si>
    <t>HNG-2025-5894</t>
  </si>
  <si>
    <t>Altinkan Ilknur</t>
  </si>
  <si>
    <t>2025.09.19 08:15:00</t>
  </si>
  <si>
    <t>HNG-2025-5896</t>
  </si>
  <si>
    <t>Varga Vivien</t>
  </si>
  <si>
    <t>2025.09.19 09:13:00</t>
  </si>
  <si>
    <t>HNG-2025-5897</t>
  </si>
  <si>
    <t>Papp Emil</t>
  </si>
  <si>
    <t>2025.09.19 09:14:00</t>
  </si>
  <si>
    <t>HNG-2025-5905</t>
  </si>
  <si>
    <t>Horváth János</t>
  </si>
  <si>
    <t>005962471</t>
  </si>
  <si>
    <t>2025.09.19 10:36:00</t>
  </si>
  <si>
    <t>HNG-2025-5911</t>
  </si>
  <si>
    <t>Juhász Zsófia</t>
  </si>
  <si>
    <t>082552178</t>
  </si>
  <si>
    <t>2025.09.19 12:37:00</t>
  </si>
  <si>
    <t>HNG-2025-5908</t>
  </si>
  <si>
    <t>Makula Ádám</t>
  </si>
  <si>
    <t>2025.09.19 11:45:00</t>
  </si>
  <si>
    <t>HNG-2025-5909</t>
  </si>
  <si>
    <t>Sályiné Kis Judit</t>
  </si>
  <si>
    <t>084154424</t>
  </si>
  <si>
    <t>2025.09.19 11:46:00</t>
  </si>
  <si>
    <t>HNG-2025-5785</t>
  </si>
  <si>
    <t>Ulabenkova Kaliia</t>
  </si>
  <si>
    <t>HNG-2025-5782</t>
  </si>
  <si>
    <t>Jónás Csaba Sándor</t>
  </si>
  <si>
    <t>2025.09.12 13:42:00</t>
  </si>
  <si>
    <t>HNG-2025-5783</t>
  </si>
  <si>
    <t>Cowley Thomasin Amy</t>
  </si>
  <si>
    <t>2025.09.12 13:44:00</t>
  </si>
  <si>
    <t>HNG-2025-5776</t>
  </si>
  <si>
    <t>Péter Krisztián Zolnay</t>
  </si>
  <si>
    <t>2025.09.12 12:10:00</t>
  </si>
  <si>
    <t>HNG-2025-5777</t>
  </si>
  <si>
    <t>Tompich Richárd</t>
  </si>
  <si>
    <t>2025.09.12 12:32:00</t>
  </si>
  <si>
    <t>HNG-2025-5778</t>
  </si>
  <si>
    <t>Turi-Balog Katalin</t>
  </si>
  <si>
    <t>077493123</t>
  </si>
  <si>
    <t>2025.09.12 12:34:00</t>
  </si>
  <si>
    <t>HNG-2025-5770</t>
  </si>
  <si>
    <t>Máthé Zsombor</t>
  </si>
  <si>
    <t>043288458</t>
  </si>
  <si>
    <t>2025.09.12 10:53:00</t>
  </si>
  <si>
    <t>HNG-2025-5771</t>
  </si>
  <si>
    <t>Kerezsi Kinga</t>
  </si>
  <si>
    <t>092279911</t>
  </si>
  <si>
    <t>2025.09.12 10:57:00</t>
  </si>
  <si>
    <t>HNG-2025-5802</t>
  </si>
  <si>
    <t>Elyan Meiram Omar</t>
  </si>
  <si>
    <t>2025.09.15 09:37:00</t>
  </si>
  <si>
    <t>HNG-2025-5803</t>
  </si>
  <si>
    <t>2025.09.15 09:38:00</t>
  </si>
  <si>
    <t>HNG-2025-5804</t>
  </si>
  <si>
    <t>HNG-2025-5805</t>
  </si>
  <si>
    <t>Kincses Adél</t>
  </si>
  <si>
    <t>2025.09.15 09:50:00</t>
  </si>
  <si>
    <t>HNG-2025-5807</t>
  </si>
  <si>
    <t>Pálmai Krisztina</t>
  </si>
  <si>
    <t>095596686</t>
  </si>
  <si>
    <t>2025.09.15 09:52:00</t>
  </si>
  <si>
    <t>HNG-2025-5791</t>
  </si>
  <si>
    <t>Nuchols Chelsea</t>
  </si>
  <si>
    <t>2025.09.15 07:30:00</t>
  </si>
  <si>
    <t>HNG-2025-5792</t>
  </si>
  <si>
    <t>Laura Hoyle</t>
  </si>
  <si>
    <t>2025.09.15 07:32:00</t>
  </si>
  <si>
    <t>HNG-2025-5793</t>
  </si>
  <si>
    <t>Cutler Laura Alice</t>
  </si>
  <si>
    <t>2025.09.15 07:43:00</t>
  </si>
  <si>
    <t>HNG-2025-5796</t>
  </si>
  <si>
    <t>Légrádi Piroska</t>
  </si>
  <si>
    <t>092157639</t>
  </si>
  <si>
    <t>2025.09.15 09:01:00</t>
  </si>
  <si>
    <t>HNG-2025-5794</t>
  </si>
  <si>
    <t>Smid Gergő Tibor</t>
  </si>
  <si>
    <t>2025.09.15 08:26:00</t>
  </si>
  <si>
    <t>HNG-2025-5820</t>
  </si>
  <si>
    <t>Vargha Zsófia Nóra</t>
  </si>
  <si>
    <t>2025.09.15 11:32:00</t>
  </si>
  <si>
    <t>HNG-2025-5816</t>
  </si>
  <si>
    <t>Kotvász Dóra</t>
  </si>
  <si>
    <t>087298695</t>
  </si>
  <si>
    <t>2025.09.15 11:04:00</t>
  </si>
  <si>
    <t>HNG-2025-5817</t>
  </si>
  <si>
    <t>Bódi Diána</t>
  </si>
  <si>
    <t>2025.09.15 11:14:00</t>
  </si>
  <si>
    <t>HNG-2025-5818</t>
  </si>
  <si>
    <t>Puskás Nikoletta Piroska</t>
  </si>
  <si>
    <t>093225306</t>
  </si>
  <si>
    <t>2025.09.15 11:17:00</t>
  </si>
  <si>
    <t>HNG-2025-5810</t>
  </si>
  <si>
    <t>Kiss Diána Andrea</t>
  </si>
  <si>
    <t>092120442</t>
  </si>
  <si>
    <t>2025.09.15 10:26:00</t>
  </si>
  <si>
    <t>HNG-2025-5811</t>
  </si>
  <si>
    <t>Giber Tibor</t>
  </si>
  <si>
    <t>2025.09.15 10:39:00</t>
  </si>
  <si>
    <t>HNG-2025-5812</t>
  </si>
  <si>
    <t>Birtalan János</t>
  </si>
  <si>
    <t>044808363</t>
  </si>
  <si>
    <t>2025.09.15 10:51:00</t>
  </si>
  <si>
    <t>HNG-2025-5822</t>
  </si>
  <si>
    <t>Unger Erik</t>
  </si>
  <si>
    <t>2025.09.15 11:51:00</t>
  </si>
  <si>
    <t>HNG-2025-5823</t>
  </si>
  <si>
    <t>Domián Kitti</t>
  </si>
  <si>
    <t>2025.09.15 12:23:00</t>
  </si>
  <si>
    <t>HNG-2025-5825</t>
  </si>
  <si>
    <t>Illés Barbara Eszter</t>
  </si>
  <si>
    <t>082178769</t>
  </si>
  <si>
    <t>2025.09.15 12:25:00</t>
  </si>
  <si>
    <t>HNG-2025-5827</t>
  </si>
  <si>
    <t>Kücsön Réka Panna</t>
  </si>
  <si>
    <t>2025.09.15 12:53:00</t>
  </si>
  <si>
    <t>HNG-2025-5832</t>
  </si>
  <si>
    <t>Oláh Edina</t>
  </si>
  <si>
    <t>2025.09.15 14:39:00</t>
  </si>
  <si>
    <t>HNG-2025-5833</t>
  </si>
  <si>
    <t>Schalkhammer Henrietta</t>
  </si>
  <si>
    <t>092780088</t>
  </si>
  <si>
    <t>HNG-2025-5834</t>
  </si>
  <si>
    <t>Wawn Rafael Jack</t>
  </si>
  <si>
    <t>2025.09.15 14:56:00</t>
  </si>
  <si>
    <t>HNG-2025-5835</t>
  </si>
  <si>
    <t>Szabó Tünde</t>
  </si>
  <si>
    <t>080869333</t>
  </si>
  <si>
    <t>2025.09.15 14:57:00</t>
  </si>
  <si>
    <t>HNG-2025-5836</t>
  </si>
  <si>
    <t>Aysel Ismayilova</t>
  </si>
  <si>
    <t>2025.09.15 15:06:00</t>
  </si>
  <si>
    <t>HNG-2025-5837</t>
  </si>
  <si>
    <t>Pintér Franciska</t>
  </si>
  <si>
    <t>2025.09.15 15:10:00</t>
  </si>
  <si>
    <t>HNG-2025-5838</t>
  </si>
  <si>
    <t>Gyarmati Ádám</t>
  </si>
  <si>
    <t>2025.09.15 15:37:00</t>
  </si>
  <si>
    <t>HNG-2025-5839</t>
  </si>
  <si>
    <t>Kőnig Tamásné</t>
  </si>
  <si>
    <t>084361750</t>
  </si>
  <si>
    <t>2025.09.16 07:29:00</t>
  </si>
  <si>
    <t>HNG-2025-5840</t>
  </si>
  <si>
    <t>Nagy Zoltán Zsolt</t>
  </si>
  <si>
    <t>095028103</t>
  </si>
  <si>
    <t>2025.09.16 07:54:00</t>
  </si>
  <si>
    <t>HNG-2025-5935</t>
  </si>
  <si>
    <t>Bakos Beáta</t>
  </si>
  <si>
    <t>2025.09.22 12:02:00</t>
  </si>
  <si>
    <t>HNG-2025-5936</t>
  </si>
  <si>
    <t>Gráczi Tekla Etelka</t>
  </si>
  <si>
    <t>087646852</t>
  </si>
  <si>
    <t>2025.09.22 12:05:00</t>
  </si>
  <si>
    <t>HNG-2025-5937</t>
  </si>
  <si>
    <t>Prosits Lászlóné</t>
  </si>
  <si>
    <t>065667673</t>
  </si>
  <si>
    <t>2025.09.22 12:20:00</t>
  </si>
  <si>
    <t>HNG-2025-5925</t>
  </si>
  <si>
    <t>Horváth Rita</t>
  </si>
  <si>
    <t>091665908</t>
  </si>
  <si>
    <t>2025.09.22 10:12:00</t>
  </si>
  <si>
    <t>HNG-2025-5928</t>
  </si>
  <si>
    <t>Rácz Gergő</t>
  </si>
  <si>
    <t>044937393</t>
  </si>
  <si>
    <t>2025.09.22 10:43:00</t>
  </si>
  <si>
    <t>HNG-2025-5931</t>
  </si>
  <si>
    <t>Pataki-Szemendrey Zsuzsanna</t>
  </si>
  <si>
    <t>2025.09.22 11:03:00</t>
  </si>
  <si>
    <t>HNG-2025-5932</t>
  </si>
  <si>
    <t>Laurinyecz Dániel Pál</t>
  </si>
  <si>
    <t>2025.09.22 11:09:00</t>
  </si>
  <si>
    <t>HNG-2025-5921</t>
  </si>
  <si>
    <t>Elieyi Sinenmur</t>
  </si>
  <si>
    <t>2025.09.22 08:36:00</t>
  </si>
  <si>
    <t>HNG-2025-5923</t>
  </si>
  <si>
    <t>Shaintürk Ayse</t>
  </si>
  <si>
    <t>2025.09.22 08:39:00</t>
  </si>
  <si>
    <t>HNG-2025-5915</t>
  </si>
  <si>
    <t>Pálinkás Barbara</t>
  </si>
  <si>
    <t>091812463</t>
  </si>
  <si>
    <t>HNG-2025-5913</t>
  </si>
  <si>
    <t>Király Petra</t>
  </si>
  <si>
    <t>2025.09.19 13:33:00</t>
  </si>
  <si>
    <t>HNG-2025-5914</t>
  </si>
  <si>
    <t>Rigó Krisztina</t>
  </si>
  <si>
    <t>092314513</t>
  </si>
  <si>
    <t>2025.09.19 14:14:00</t>
  </si>
  <si>
    <t>HNG-2025-5940</t>
  </si>
  <si>
    <t>Marosi Virág</t>
  </si>
  <si>
    <t>2025.09.22 15:04:00</t>
  </si>
  <si>
    <t>HNG-2025-5938</t>
  </si>
  <si>
    <t>Gyenes Dorottya</t>
  </si>
  <si>
    <t>092678060</t>
  </si>
  <si>
    <t>2025.09.22 14:20:00</t>
  </si>
  <si>
    <t>HNG-2025-5947</t>
  </si>
  <si>
    <t>Sarnyai Tímea</t>
  </si>
  <si>
    <t>2025.09.23 09:54:00</t>
  </si>
  <si>
    <t>HNG-2025-5946</t>
  </si>
  <si>
    <t>Kovács Jennifer</t>
  </si>
  <si>
    <t>2025.09.23 08:05:00</t>
  </si>
  <si>
    <t>HNG-2025-5942</t>
  </si>
  <si>
    <t>Lapis Eperke Beatrix</t>
  </si>
  <si>
    <t>090096088</t>
  </si>
  <si>
    <t>2025.09.22 15:08:00</t>
  </si>
  <si>
    <t>HNG-2025-5943</t>
  </si>
  <si>
    <t>Ignácz Bence István</t>
  </si>
  <si>
    <t>2025.09.22 15:27:00</t>
  </si>
  <si>
    <t>HNG-2025-5944</t>
  </si>
  <si>
    <t>Kelemen Szilvia Klaudia</t>
  </si>
  <si>
    <t>2025.09.22 15:48:00</t>
  </si>
  <si>
    <t>HNG-2025-5950</t>
  </si>
  <si>
    <t>Vörös János</t>
  </si>
  <si>
    <t>2025.09.23 10:25:00</t>
  </si>
  <si>
    <t>HNG-2025-5951</t>
  </si>
  <si>
    <t>Szekér Marcell</t>
  </si>
  <si>
    <t>2025.09.23 10:39:00</t>
  </si>
  <si>
    <t>HNG-2025-5952</t>
  </si>
  <si>
    <t>Vasadi Dávid</t>
  </si>
  <si>
    <t>2025.09.23 10:50:00</t>
  </si>
  <si>
    <t>HNG-2025-5953</t>
  </si>
  <si>
    <t>Bereczki Katalin</t>
  </si>
  <si>
    <t>086104700</t>
  </si>
  <si>
    <t>2025.09.23 12:18:00</t>
  </si>
  <si>
    <t>HNG-2025-5955</t>
  </si>
  <si>
    <t>Varga Dániel</t>
  </si>
  <si>
    <t>2025.09.23 15:07:00</t>
  </si>
  <si>
    <t>HNG-2025-5954</t>
  </si>
  <si>
    <t>Demeter Diána</t>
  </si>
  <si>
    <t>2025.09.23 14:28:00</t>
  </si>
  <si>
    <t>HNG-2025-5957</t>
  </si>
  <si>
    <t>Madarász Dávid Péter</t>
  </si>
  <si>
    <t>044892430</t>
  </si>
  <si>
    <t>2025.09.24 07:34:00</t>
  </si>
  <si>
    <t>HNG-2025-5958</t>
  </si>
  <si>
    <t>Perge Nora</t>
  </si>
  <si>
    <t>091272854</t>
  </si>
  <si>
    <t>2025.09.24 07:36:00</t>
  </si>
  <si>
    <t>HNG-2025-5965</t>
  </si>
  <si>
    <t>Boda Eszter</t>
  </si>
  <si>
    <t>083812039</t>
  </si>
  <si>
    <t>2025.09.24 11:08:00</t>
  </si>
  <si>
    <t>HNG-2025-5975</t>
  </si>
  <si>
    <t>Farkas József</t>
  </si>
  <si>
    <t>038282980</t>
  </si>
  <si>
    <t>2025.09.25 07:20:00</t>
  </si>
  <si>
    <t>HNG-2025-5976</t>
  </si>
  <si>
    <t>Hrabovszki Beatrix</t>
  </si>
  <si>
    <t>088592817</t>
  </si>
  <si>
    <t>2025.09.25 08:09:00</t>
  </si>
  <si>
    <t>HNG-2025-5968</t>
  </si>
  <si>
    <t>Molnár Beatrix</t>
  </si>
  <si>
    <t>2025.09.24 11:43:00</t>
  </si>
  <si>
    <t>HNG-2025-5972</t>
  </si>
  <si>
    <t>Urr Bertalan</t>
  </si>
  <si>
    <t>2025.09.24 13:55:00</t>
  </si>
  <si>
    <t>HNG-2025-5494</t>
  </si>
  <si>
    <t>Megyeri Szófia Laura</t>
  </si>
  <si>
    <t>2025.09.01 14:43:00</t>
  </si>
  <si>
    <t>HNG-2025-5490</t>
  </si>
  <si>
    <t>Stefuska Géza András</t>
  </si>
  <si>
    <t>044802189</t>
  </si>
  <si>
    <t>2025.09.01 14:24:00</t>
  </si>
  <si>
    <t>HNG-2025-5491</t>
  </si>
  <si>
    <t>Mai Xuan Thanh</t>
  </si>
  <si>
    <t>EE00846516</t>
  </si>
  <si>
    <t>2025.09.01 14:31:00</t>
  </si>
  <si>
    <t>HNG-2025-5488</t>
  </si>
  <si>
    <t>Jakab Ágnes</t>
  </si>
  <si>
    <t>077878003</t>
  </si>
  <si>
    <t>HNG-2025-5481</t>
  </si>
  <si>
    <t>Balogh Béla</t>
  </si>
  <si>
    <t>2025.09.01 12:07:00</t>
  </si>
  <si>
    <t>HNG-2025-5471</t>
  </si>
  <si>
    <t>Kenyeres Péter</t>
  </si>
  <si>
    <t>2025.09.01 09:44:00</t>
  </si>
  <si>
    <t>HNG-2025-5473</t>
  </si>
  <si>
    <t>Truong Quoc Dat</t>
  </si>
  <si>
    <t>2025.09.01 10:28:00</t>
  </si>
  <si>
    <t>HNG-2025-5477</t>
  </si>
  <si>
    <t>Joan Tecson</t>
  </si>
  <si>
    <t>2025.09.01 11:09:00</t>
  </si>
  <si>
    <t>HNG-2025-5519</t>
  </si>
  <si>
    <t>Le Thi Huong</t>
  </si>
  <si>
    <t>P01879047</t>
  </si>
  <si>
    <t>2025.09.02 12:49:00</t>
  </si>
  <si>
    <t>HNG-2025-5521</t>
  </si>
  <si>
    <t>Kardos Vivien</t>
  </si>
  <si>
    <t>2025.09.02 13:07:00</t>
  </si>
  <si>
    <t>HNG-2025-5522</t>
  </si>
  <si>
    <t>HNG-2025-5523</t>
  </si>
  <si>
    <t>HNG-2025-5525</t>
  </si>
  <si>
    <t>Duong Kim Vinh</t>
  </si>
  <si>
    <t>P02542528</t>
  </si>
  <si>
    <t>2025.09.02 13:54:00</t>
  </si>
  <si>
    <t>HNG-2025-5513</t>
  </si>
  <si>
    <t>Gál Lajos</t>
  </si>
  <si>
    <t>032675201</t>
  </si>
  <si>
    <t>2025.09.02 10:20:00</t>
  </si>
  <si>
    <t>HNG-2025-5508</t>
  </si>
  <si>
    <t>Zajácz Tímea</t>
  </si>
  <si>
    <t>083686199</t>
  </si>
  <si>
    <t>2025.09.02 09:40:00</t>
  </si>
  <si>
    <t>HNG-2025-5496</t>
  </si>
  <si>
    <t>Szalisznyó Piroska</t>
  </si>
  <si>
    <t>089945728</t>
  </si>
  <si>
    <t>2025.09.01 14:49:00</t>
  </si>
  <si>
    <t>HNG-2025-5498</t>
  </si>
  <si>
    <t>Kiss Tibor</t>
  </si>
  <si>
    <t>BS7537452</t>
  </si>
  <si>
    <t>2025.09.02 07:04:00</t>
  </si>
  <si>
    <t>HNG-2025-5500</t>
  </si>
  <si>
    <t>Oláh Fanni</t>
  </si>
  <si>
    <t>2025.09.02 07:52:00</t>
  </si>
  <si>
    <t>HNG-2025-5501</t>
  </si>
  <si>
    <t>Molnár Anita</t>
  </si>
  <si>
    <t>080510200</t>
  </si>
  <si>
    <t>2025.09.02 08:01:00</t>
  </si>
  <si>
    <t>HNG-2025-5531</t>
  </si>
  <si>
    <t>Csepregi Borbála</t>
  </si>
  <si>
    <t>2025.09.02 15:47:00</t>
  </si>
  <si>
    <t>HNG-2025-5532</t>
  </si>
  <si>
    <t>Nagyné Tóth Gabriella</t>
  </si>
  <si>
    <t>081013285</t>
  </si>
  <si>
    <t>2025.09.02 16:16:00</t>
  </si>
  <si>
    <t>HNG-2025-5533</t>
  </si>
  <si>
    <t>Barta Gergely</t>
  </si>
  <si>
    <t>043199231</t>
  </si>
  <si>
    <t>2025.09.02 16:34:00</t>
  </si>
  <si>
    <t>HNG-2025-5534</t>
  </si>
  <si>
    <t>Osváth Gergő</t>
  </si>
  <si>
    <t>2025.09.02 16:37:00</t>
  </si>
  <si>
    <t>HNG-2025-5535</t>
  </si>
  <si>
    <t>Szarvas Zsolt</t>
  </si>
  <si>
    <t>028805092</t>
  </si>
  <si>
    <t>2025.09.02 16:48:00</t>
  </si>
  <si>
    <t>HNG-2025-5536</t>
  </si>
  <si>
    <t>Ritter Andrea Irén Dr.</t>
  </si>
  <si>
    <t>073549077</t>
  </si>
  <si>
    <t>2025.09.02 17:02:00</t>
  </si>
  <si>
    <t>HNG-2025-5537</t>
  </si>
  <si>
    <t>2025.09.02 17:03:00</t>
  </si>
  <si>
    <t>HNG-2025-5538</t>
  </si>
  <si>
    <t>Pasztercsák-Cseszlai Dóra Emília</t>
  </si>
  <si>
    <t>092673821</t>
  </si>
  <si>
    <t>2025.09.02 17:06:00</t>
  </si>
  <si>
    <t>HNG-2025-5539</t>
  </si>
  <si>
    <t>Keresztes Kaleb Ahmed</t>
  </si>
  <si>
    <t>2025.09.02 17:19:00</t>
  </si>
  <si>
    <t>HNG-2025-5540</t>
  </si>
  <si>
    <t>Papp Zsoltné</t>
  </si>
  <si>
    <t>091337603</t>
  </si>
  <si>
    <t>2025.09.02 17:21:00</t>
  </si>
  <si>
    <t>HNG-2025-5541</t>
  </si>
  <si>
    <t>Serdült Rebeka</t>
  </si>
  <si>
    <t>2025.09.02 17:37:00</t>
  </si>
  <si>
    <t>HNG-2025-5542</t>
  </si>
  <si>
    <t>2025.09.02 17:46:00</t>
  </si>
  <si>
    <t>HNG-2025-5543</t>
  </si>
  <si>
    <t>Kaló Alexandra Laura</t>
  </si>
  <si>
    <t>2025.09.02 17:47:00</t>
  </si>
  <si>
    <t>HNG-2025-5527</t>
  </si>
  <si>
    <t>Pop Csenge Imola</t>
  </si>
  <si>
    <t>2025.09.02 14:28:00</t>
  </si>
  <si>
    <t>HNG-2025-5528</t>
  </si>
  <si>
    <t>Szabó Katalin</t>
  </si>
  <si>
    <t>087736887</t>
  </si>
  <si>
    <t>2025.09.02 14:34:00</t>
  </si>
  <si>
    <t>HNG-2025-5558</t>
  </si>
  <si>
    <t>Radóczi Csaba</t>
  </si>
  <si>
    <t>2025.09.03 10:10:00</t>
  </si>
  <si>
    <t>HNG-2025-5547</t>
  </si>
  <si>
    <t>Dajka Boglárka</t>
  </si>
  <si>
    <t>2025.09.03 07:40:00</t>
  </si>
  <si>
    <t>HNG-2025-5553</t>
  </si>
  <si>
    <t>Haga Orsolya</t>
  </si>
  <si>
    <t>2025.09.03 09:15:00</t>
  </si>
  <si>
    <t>HNG-2025-5554</t>
  </si>
  <si>
    <t>Nagy Dávid Lénárd</t>
  </si>
  <si>
    <t>040191432</t>
  </si>
  <si>
    <t>HNG-2025-5555</t>
  </si>
  <si>
    <t>Szászfalvi-Farkas Lenke</t>
  </si>
  <si>
    <t>2025.09.03 09:18:00</t>
  </si>
  <si>
    <t>HNG-2025-5583</t>
  </si>
  <si>
    <t>Esztári Veronika</t>
  </si>
  <si>
    <t>084855853</t>
  </si>
  <si>
    <t>2025.09.04 07:27:00</t>
  </si>
  <si>
    <t>HNG-2025-5584</t>
  </si>
  <si>
    <t>Hellnerné Sásdi Bernadett</t>
  </si>
  <si>
    <t>080739564</t>
  </si>
  <si>
    <t>2025.09.04 08:26:00</t>
  </si>
  <si>
    <t>HNG-2025-5585</t>
  </si>
  <si>
    <t>Takács Kata Boglárka Dr.</t>
  </si>
  <si>
    <t>2025.09.04 08:44:00</t>
  </si>
  <si>
    <t>HNG-2025-5578</t>
  </si>
  <si>
    <t>Szabó Vivien</t>
  </si>
  <si>
    <t>2025.09.03 14:44:00</t>
  </si>
  <si>
    <t>HNG-2025-5582</t>
  </si>
  <si>
    <t>Remecz-Tolnai Viktória</t>
  </si>
  <si>
    <t>086371247</t>
  </si>
  <si>
    <t>2025.09.03 15:36:00</t>
  </si>
  <si>
    <t>HNG-2025-5575</t>
  </si>
  <si>
    <t>Domokos Barbara</t>
  </si>
  <si>
    <t>092138630</t>
  </si>
  <si>
    <t>2025.09.03 13:42:00</t>
  </si>
  <si>
    <t>HNG-2025-5572</t>
  </si>
  <si>
    <t>Horváth Lídia</t>
  </si>
  <si>
    <t>FU569573</t>
  </si>
  <si>
    <t>2025.09.03 12:33:00</t>
  </si>
  <si>
    <t>HNG-2025-5573</t>
  </si>
  <si>
    <t>Dzurik Éva</t>
  </si>
  <si>
    <t>2025.09.03 12:44:00</t>
  </si>
  <si>
    <t>HNG-2025-5560</t>
  </si>
  <si>
    <t>Saska Dorottya</t>
  </si>
  <si>
    <t>2025.09.03 10:20:00</t>
  </si>
  <si>
    <t>HNG-2025-5563</t>
  </si>
  <si>
    <t>Gajdács Ágota</t>
  </si>
  <si>
    <t>086402446</t>
  </si>
  <si>
    <t>2025.09.03 10:44:00</t>
  </si>
  <si>
    <t>HNG-2025-5564</t>
  </si>
  <si>
    <t>Trif Horia Adrian</t>
  </si>
  <si>
    <t>HNG-2025-5565</t>
  </si>
  <si>
    <t>Botka Brigitta</t>
  </si>
  <si>
    <t>090604175</t>
  </si>
  <si>
    <t>2025.09.03 11:04:00</t>
  </si>
  <si>
    <t>HNG-2025-5566</t>
  </si>
  <si>
    <t>Bányai Emma Petra</t>
  </si>
  <si>
    <t>2025.09.03 11:13:00</t>
  </si>
  <si>
    <t>HNG-2025-5721</t>
  </si>
  <si>
    <t>Szabó Melinda</t>
  </si>
  <si>
    <t>078181032</t>
  </si>
  <si>
    <t>2025.09.10 14:48:00</t>
  </si>
  <si>
    <t>HNG-2025-5722</t>
  </si>
  <si>
    <t>Titkó Flóra Ilona</t>
  </si>
  <si>
    <t>2025.09.10 14:56:00</t>
  </si>
  <si>
    <t>HNG-2025-5730</t>
  </si>
  <si>
    <t>Gábor Veronika</t>
  </si>
  <si>
    <t>079526243</t>
  </si>
  <si>
    <t>2025.09.11 09:25:00</t>
  </si>
  <si>
    <t>HNG-2025-5724</t>
  </si>
  <si>
    <t>Márczi István</t>
  </si>
  <si>
    <t>2025.09.10 15:07:00</t>
  </si>
  <si>
    <t>HNG-2025-5725</t>
  </si>
  <si>
    <t>Appl Dóra</t>
  </si>
  <si>
    <t>092990102</t>
  </si>
  <si>
    <t>2025.09.11 07:38:00</t>
  </si>
  <si>
    <t>HNG-2025-5726</t>
  </si>
  <si>
    <t>Patkó Zsófia</t>
  </si>
  <si>
    <t>2025.09.11 08:02:00</t>
  </si>
  <si>
    <t>HNG-2025-5727</t>
  </si>
  <si>
    <t>Gerják Edit Zsuzsanna</t>
  </si>
  <si>
    <t>095697398</t>
  </si>
  <si>
    <t>2025.09.11 08:06:00</t>
  </si>
  <si>
    <t>HNG-2025-5732</t>
  </si>
  <si>
    <t>Berlik Zselyke</t>
  </si>
  <si>
    <t>2025.09.11 09:42:00</t>
  </si>
  <si>
    <t>HNG-2025-5733</t>
  </si>
  <si>
    <t>Táncos Tomas</t>
  </si>
  <si>
    <t>2025.09.11 09:49:00</t>
  </si>
  <si>
    <t>HNG-2025-5735</t>
  </si>
  <si>
    <t>Bencsik Máté Balázs</t>
  </si>
  <si>
    <t>2025.09.11 10:39:00</t>
  </si>
  <si>
    <t>HNG-2025-5736</t>
  </si>
  <si>
    <t>Breznai Andrea</t>
  </si>
  <si>
    <t>078341735</t>
  </si>
  <si>
    <t>2025.09.11 10:50:00</t>
  </si>
  <si>
    <t>HNG-2025-5737</t>
  </si>
  <si>
    <t>Csighy Alexandra</t>
  </si>
  <si>
    <t>2025.09.11 10:51:00</t>
  </si>
  <si>
    <t>HNG-2025-5738</t>
  </si>
  <si>
    <t>Majer Balázs</t>
  </si>
  <si>
    <t>2025.09.11 11:01:00</t>
  </si>
  <si>
    <t>HNG-2025-5742</t>
  </si>
  <si>
    <t>Kalász Anna</t>
  </si>
  <si>
    <t>2025.09.11 12:17:00</t>
  </si>
  <si>
    <t>HNG-2025-5743</t>
  </si>
  <si>
    <t>Joó Krisztián János</t>
  </si>
  <si>
    <t>2025.09.11 13:00:00</t>
  </si>
  <si>
    <t>HNG-2025-5744</t>
  </si>
  <si>
    <t>Répay Zsófia</t>
  </si>
  <si>
    <t>2025.09.11 14:00:00</t>
  </si>
  <si>
    <t>HNG-2025-5746</t>
  </si>
  <si>
    <t>Nagy Katalin</t>
  </si>
  <si>
    <t>091937746</t>
  </si>
  <si>
    <t>2025.09.11 14:42:00</t>
  </si>
  <si>
    <t>HNG-2025-5747</t>
  </si>
  <si>
    <t>Varga Noémi</t>
  </si>
  <si>
    <t>2025.09.11 14:48:00</t>
  </si>
  <si>
    <t>HNG-2025-5748</t>
  </si>
  <si>
    <t>Rehákné Siroki Zsanett</t>
  </si>
  <si>
    <t>092361294</t>
  </si>
  <si>
    <t>2025.09.11 14:54:00</t>
  </si>
  <si>
    <t>HNG-2025-5749</t>
  </si>
  <si>
    <t>Horváth Martin</t>
  </si>
  <si>
    <t>2025.09.11 14:58:00</t>
  </si>
  <si>
    <t>HNG-2025-5756</t>
  </si>
  <si>
    <t>Dang Van Vinh</t>
  </si>
  <si>
    <t>001438639</t>
  </si>
  <si>
    <t>2025.09.12 09:47:00</t>
  </si>
  <si>
    <t>HNG-2025-5740</t>
  </si>
  <si>
    <t>Nagy Laura</t>
  </si>
  <si>
    <t>2025.09.11 11:39:00</t>
  </si>
  <si>
    <t>HNG-2025-5752</t>
  </si>
  <si>
    <t>Nguyen Thi Bich</t>
  </si>
  <si>
    <t>2025.09.12 08:42:00</t>
  </si>
  <si>
    <t>HNG-2025-5702</t>
  </si>
  <si>
    <t>Hegedűs Zoltán</t>
  </si>
  <si>
    <t>030426382</t>
  </si>
  <si>
    <t>2025.09.10 09:22:00</t>
  </si>
  <si>
    <t>HNG-2025-5686</t>
  </si>
  <si>
    <t>Ábrahám Ágnes</t>
  </si>
  <si>
    <t>2025.09.09 14:33:00</t>
  </si>
  <si>
    <t>HNG-2025-5684</t>
  </si>
  <si>
    <t>Berndt Antónia</t>
  </si>
  <si>
    <t>2025.09.09 14:06:00</t>
  </si>
  <si>
    <t>HNG-2025-5688</t>
  </si>
  <si>
    <t>Piros Petra</t>
  </si>
  <si>
    <t>2025.09.09 15:36:00</t>
  </si>
  <si>
    <t>HNG-2025-5689</t>
  </si>
  <si>
    <t>Erdélyi Szabolcs</t>
  </si>
  <si>
    <t>2025.09.09 15:43:00</t>
  </si>
  <si>
    <t>HNG-2025-5690</t>
  </si>
  <si>
    <t>Veres Anna Blanka</t>
  </si>
  <si>
    <t>2025.09.09 16:05:00</t>
  </si>
  <si>
    <t>HNG-2025-5691</t>
  </si>
  <si>
    <t>Megyik Karina</t>
  </si>
  <si>
    <t>2025.09.09 16:38:00</t>
  </si>
  <si>
    <t>HNG-2025-5692</t>
  </si>
  <si>
    <t>Sárkány Alexandra</t>
  </si>
  <si>
    <t>2025.09.09 17:04:00</t>
  </si>
  <si>
    <t>HNG-2025-5693</t>
  </si>
  <si>
    <t>Czakó Fanni</t>
  </si>
  <si>
    <t>2025.09.09 17:08:00</t>
  </si>
  <si>
    <t>HNG-2025-5694</t>
  </si>
  <si>
    <t>Fekete Zsófia</t>
  </si>
  <si>
    <t>2025.09.09 17:41:00</t>
  </si>
  <si>
    <t>HNG-2025-5695</t>
  </si>
  <si>
    <t>Trencsényi Attila</t>
  </si>
  <si>
    <t>036688836</t>
  </si>
  <si>
    <t>2025.09.10 07:10:00</t>
  </si>
  <si>
    <t>HNG-2025-5696</t>
  </si>
  <si>
    <t>Schwarcz Anna Kata</t>
  </si>
  <si>
    <t>2025.09.10 07:37:00</t>
  </si>
  <si>
    <t>HNG-2025-5697</t>
  </si>
  <si>
    <t>Simon Orsolya</t>
  </si>
  <si>
    <t>2025.09.10 07:43:00</t>
  </si>
  <si>
    <t>HNG-2025-5698</t>
  </si>
  <si>
    <t>Kovács Milán</t>
  </si>
  <si>
    <t>2025.09.10 07:54:00</t>
  </si>
  <si>
    <t>HNG-2025-5699</t>
  </si>
  <si>
    <t>Melcher Károly</t>
  </si>
  <si>
    <t>2025.09.10 07:58:00</t>
  </si>
  <si>
    <t>HNG-2025-5670</t>
  </si>
  <si>
    <t>Maász Marcell Dr.</t>
  </si>
  <si>
    <t>2025.09.09 08:58:00</t>
  </si>
  <si>
    <t>HNG-2025-5671</t>
  </si>
  <si>
    <t>Mészár Szandra</t>
  </si>
  <si>
    <t>2025.09.09 09:28:00</t>
  </si>
  <si>
    <t>HNG-2025-5673</t>
  </si>
  <si>
    <t>Bárány Petra</t>
  </si>
  <si>
    <t>095615998</t>
  </si>
  <si>
    <t>2025.09.09 09:59:00</t>
  </si>
  <si>
    <t>HNG-2025-5674</t>
  </si>
  <si>
    <t>Tóth Gabriella</t>
  </si>
  <si>
    <t>2025.09.09 10:30:00</t>
  </si>
  <si>
    <t>HNG-2025-5675</t>
  </si>
  <si>
    <t>Bagosi Szilvia</t>
  </si>
  <si>
    <t>2025.09.09 10:44:00</t>
  </si>
  <si>
    <t>HNG-2025-5676</t>
  </si>
  <si>
    <t>Lutischan Melinda</t>
  </si>
  <si>
    <t>082352071</t>
  </si>
  <si>
    <t>2025.09.09 10:48:00</t>
  </si>
  <si>
    <t>HNG-2025-5677</t>
  </si>
  <si>
    <t>Lutischan Emese</t>
  </si>
  <si>
    <t>2025.09.09 10:50:00</t>
  </si>
  <si>
    <t>HNG-2025-5678</t>
  </si>
  <si>
    <t>Kiss Boglárka</t>
  </si>
  <si>
    <t>2025.09.09 10:52:00</t>
  </si>
  <si>
    <t>HNG-2025-5679</t>
  </si>
  <si>
    <t>Horváth Gábor</t>
  </si>
  <si>
    <t>040397744</t>
  </si>
  <si>
    <t>2025.09.09 11:01:00</t>
  </si>
  <si>
    <t>HNG-2025-5680</t>
  </si>
  <si>
    <t>Dénes Éva</t>
  </si>
  <si>
    <t>075274337</t>
  </si>
  <si>
    <t>2025.09.09 12:36:00</t>
  </si>
  <si>
    <t>HNG-2025-5681</t>
  </si>
  <si>
    <t>Gácsi Benedek</t>
  </si>
  <si>
    <t>2025.09.09 12:46:00</t>
  </si>
  <si>
    <t>HNG-2025-5682</t>
  </si>
  <si>
    <t>Kiss Rebeka</t>
  </si>
  <si>
    <t>2025.09.09 13:04:00</t>
  </si>
  <si>
    <t>HNG-2025-5664</t>
  </si>
  <si>
    <t>Tibori Tamás Tibold</t>
  </si>
  <si>
    <t>041304581</t>
  </si>
  <si>
    <t>2025.09.09 07:36:00</t>
  </si>
  <si>
    <t>HNG-2025-5665</t>
  </si>
  <si>
    <t>Vajda Péter</t>
  </si>
  <si>
    <t>2025.09.09 07:56:00</t>
  </si>
  <si>
    <t>HNG-2025-5666</t>
  </si>
  <si>
    <t>Solymár Károly</t>
  </si>
  <si>
    <t>2025.09.09 08:15:00</t>
  </si>
  <si>
    <t>HNG-2025-5667</t>
  </si>
  <si>
    <t>Torkanics Zalán</t>
  </si>
  <si>
    <t>036653540</t>
  </si>
  <si>
    <t>2025.09.09 08:29:00</t>
  </si>
  <si>
    <t>HNG-2025-5659</t>
  </si>
  <si>
    <t>Erdei Eszter</t>
  </si>
  <si>
    <t>092917334</t>
  </si>
  <si>
    <t>2025.09.08 14:47:00</t>
  </si>
  <si>
    <t>HNG-2025-5660</t>
  </si>
  <si>
    <t>Ordasi Zsolt</t>
  </si>
  <si>
    <t>041388019</t>
  </si>
  <si>
    <t>2025.09.08 14:58:00</t>
  </si>
  <si>
    <t>HNG-2025-5661</t>
  </si>
  <si>
    <t>Mázsári Zsófia</t>
  </si>
  <si>
    <t>095595139</t>
  </si>
  <si>
    <t>2025.09.08 15:03:00</t>
  </si>
  <si>
    <t>HNG-2025-5587</t>
  </si>
  <si>
    <t>Tardy-Papp Anna</t>
  </si>
  <si>
    <t>2025.09.04 08:59:00</t>
  </si>
  <si>
    <t>HNG-2025-5588</t>
  </si>
  <si>
    <t>Tombistein Viktória</t>
  </si>
  <si>
    <t>2025.09.04 09:18:00</t>
  </si>
  <si>
    <t>HNG-2025-5589</t>
  </si>
  <si>
    <t>Szloboda Boglárka</t>
  </si>
  <si>
    <t>2025.09.04 09:19:00</t>
  </si>
  <si>
    <t>HNG-2025-5590</t>
  </si>
  <si>
    <t>2025.09.04 09:22:00</t>
  </si>
  <si>
    <t>HNG-2025-5592</t>
  </si>
  <si>
    <t>Tóth Anikó</t>
  </si>
  <si>
    <t>2025.09.04 10:04:00</t>
  </si>
  <si>
    <t>HNG-2025-5593</t>
  </si>
  <si>
    <t>Le Hoang Anh</t>
  </si>
  <si>
    <t>E01187992</t>
  </si>
  <si>
    <t>2025.09.04 10:07:00</t>
  </si>
  <si>
    <t>HNG-2025-5594</t>
  </si>
  <si>
    <t>Szabó Béla</t>
  </si>
  <si>
    <t>032130003</t>
  </si>
  <si>
    <t>2025.09.04 10:08:00</t>
  </si>
  <si>
    <t>HNG-2025-5595</t>
  </si>
  <si>
    <t>Szűcs Miklós</t>
  </si>
  <si>
    <t>096140842</t>
  </si>
  <si>
    <t>2025.09.04 10:24:00</t>
  </si>
  <si>
    <t>HNG-2025-5597</t>
  </si>
  <si>
    <t>Torzsás-Imecs Boglárka</t>
  </si>
  <si>
    <t>092226740</t>
  </si>
  <si>
    <t>2025.09.04 10:54:00</t>
  </si>
  <si>
    <t>HNG-2025-5599</t>
  </si>
  <si>
    <t>Szarka Benjamin</t>
  </si>
  <si>
    <t>095190734</t>
  </si>
  <si>
    <t>2025.09.04 11:56:00</t>
  </si>
  <si>
    <t>HNG-2025-5600</t>
  </si>
  <si>
    <t>Huszti Renata</t>
  </si>
  <si>
    <t>085515743</t>
  </si>
  <si>
    <t>2025.09.04 12:52:00</t>
  </si>
  <si>
    <t>HNG-2025-5601</t>
  </si>
  <si>
    <t>Szántó Bence Sándor</t>
  </si>
  <si>
    <t>2025.09.04 13:10:00</t>
  </si>
  <si>
    <t>HNG-2025-5605</t>
  </si>
  <si>
    <t>Juhász Patrik</t>
  </si>
  <si>
    <t>2025.09.05 07:45:00</t>
  </si>
  <si>
    <t>HNG-2025-5609</t>
  </si>
  <si>
    <t>Magnucz János</t>
  </si>
  <si>
    <t>037400237</t>
  </si>
  <si>
    <t>2025.09.05 08:28:00</t>
  </si>
  <si>
    <t>HNG-2025-5610</t>
  </si>
  <si>
    <t>Varga Viktória</t>
  </si>
  <si>
    <t>2025.09.05 08:45:00</t>
  </si>
  <si>
    <t>HNG-2025-5613</t>
  </si>
  <si>
    <t>Sűrű László</t>
  </si>
  <si>
    <t>2025.09.05 10:25:00</t>
  </si>
  <si>
    <t>HNG-2025-5615</t>
  </si>
  <si>
    <t>Kertész Márk</t>
  </si>
  <si>
    <t>2025.09.05 10:40:00</t>
  </si>
  <si>
    <t>HNG-2025-5618</t>
  </si>
  <si>
    <t>Ács Donát Menyhért</t>
  </si>
  <si>
    <t>095872061</t>
  </si>
  <si>
    <t>2025.09.05 11:16:00</t>
  </si>
  <si>
    <t>HNG-2025-5619</t>
  </si>
  <si>
    <t>Jánosi Dávid</t>
  </si>
  <si>
    <t>2025.09.05 11:46:00</t>
  </si>
  <si>
    <t>HNG-2025-5653</t>
  </si>
  <si>
    <t>Nguyen Van Tuan</t>
  </si>
  <si>
    <t>C2321234</t>
  </si>
  <si>
    <t>2025.09.08 13:45:00</t>
  </si>
  <si>
    <t>HNG-2025-5655</t>
  </si>
  <si>
    <t>Iván Timur</t>
  </si>
  <si>
    <t>2025.09.08 14:12:00</t>
  </si>
  <si>
    <t>HNG-2025-5656</t>
  </si>
  <si>
    <t>Horváth Bence János</t>
  </si>
  <si>
    <t>2025.09.08 14:21:00</t>
  </si>
  <si>
    <t>HNG-2025-5626</t>
  </si>
  <si>
    <t>Gerencsér Zsófia</t>
  </si>
  <si>
    <t>2025.09.05 14:11:00</t>
  </si>
  <si>
    <t>HNG-2025-5622</t>
  </si>
  <si>
    <t>Czakó Eszter</t>
  </si>
  <si>
    <t>089495814</t>
  </si>
  <si>
    <t>2025.09.05 13:31:00</t>
  </si>
  <si>
    <t>HNG-2025-5628</t>
  </si>
  <si>
    <t>Ecser Blanka</t>
  </si>
  <si>
    <t>2025.09.05 14:34:00</t>
  </si>
  <si>
    <t>HNG-2025-5629</t>
  </si>
  <si>
    <t>Sárközi Adrienn</t>
  </si>
  <si>
    <t>095668932</t>
  </si>
  <si>
    <t>2025.09.08 08:33:00</t>
  </si>
  <si>
    <t>HNG-2025-5634</t>
  </si>
  <si>
    <t>Varga Nikoletta</t>
  </si>
  <si>
    <t>2025.09.08 09:34:00</t>
  </si>
  <si>
    <t>HNG-2025-6015</t>
  </si>
  <si>
    <t>Komka Gábor Ariel</t>
  </si>
  <si>
    <t>2025.09.26 13:35:00</t>
  </si>
  <si>
    <t>HNG-2025-6016</t>
  </si>
  <si>
    <t>Baranyai Zsuzsanna</t>
  </si>
  <si>
    <t>076021914</t>
  </si>
  <si>
    <t>2025.09.26 13:47:00</t>
  </si>
  <si>
    <t>HNG-2025-6017</t>
  </si>
  <si>
    <t>2025.09.26 13:49:00</t>
  </si>
  <si>
    <t>HNG-2025-6018</t>
  </si>
  <si>
    <t>Szabó Tímea</t>
  </si>
  <si>
    <t>088027232</t>
  </si>
  <si>
    <t>2025.09.26 13:50:00</t>
  </si>
  <si>
    <t>HNG-2025-6009</t>
  </si>
  <si>
    <t>Rozinka Norbert</t>
  </si>
  <si>
    <t>041696617</t>
  </si>
  <si>
    <t>2025.09.26 10:51:00</t>
  </si>
  <si>
    <t>HNG-2025-6010</t>
  </si>
  <si>
    <t>Petroff Zsombor Bence</t>
  </si>
  <si>
    <t>2025.09.26 10:52:00</t>
  </si>
  <si>
    <t>HNG-2025-6014</t>
  </si>
  <si>
    <t>Hutter Kata</t>
  </si>
  <si>
    <t>095650074</t>
  </si>
  <si>
    <t>2025.09.26 12:16:00</t>
  </si>
  <si>
    <t>HNG-2025-6002</t>
  </si>
  <si>
    <t>Kosztolányi Evelin Írisz</t>
  </si>
  <si>
    <t>092866452</t>
  </si>
  <si>
    <t>2025.09.26 09:01:00</t>
  </si>
  <si>
    <t>HNG-2025-6005</t>
  </si>
  <si>
    <t>Szabó Zsolt</t>
  </si>
  <si>
    <t>044506973</t>
  </si>
  <si>
    <t>2025.09.26 09:44:00</t>
  </si>
  <si>
    <t>HNG-2025-6006</t>
  </si>
  <si>
    <t>Mihalics Melinda</t>
  </si>
  <si>
    <t>077695169</t>
  </si>
  <si>
    <t>2025.09.26 09:48:00</t>
  </si>
  <si>
    <t>HNG-2025-6004</t>
  </si>
  <si>
    <t>Szabó Róbert</t>
  </si>
  <si>
    <t>043768907</t>
  </si>
  <si>
    <t>2025.09.26 09:26:00</t>
  </si>
  <si>
    <t>HNG-2025-6008</t>
  </si>
  <si>
    <t>Gálác János</t>
  </si>
  <si>
    <t>2025.09.26 10:02:00</t>
  </si>
  <si>
    <t>HNG-2025-5984</t>
  </si>
  <si>
    <t>Kolozsi Norbert</t>
  </si>
  <si>
    <t>2025.09.25 09:53:00</t>
  </si>
  <si>
    <t>HNG-2025-5985</t>
  </si>
  <si>
    <t>Nyamkhuu Munkhtulga</t>
  </si>
  <si>
    <t>2025.09.25 11:06:00</t>
  </si>
  <si>
    <t>HNG-2025-5987</t>
  </si>
  <si>
    <t>Ondrék Dezső</t>
  </si>
  <si>
    <t>041644986</t>
  </si>
  <si>
    <t>2025.09.25 11:37:00</t>
  </si>
  <si>
    <t>HNG-2025-5988</t>
  </si>
  <si>
    <t>Klucsik Zoltán Márk</t>
  </si>
  <si>
    <t>2025.09.25 11:38:00</t>
  </si>
  <si>
    <t>HNG-2025-5989</t>
  </si>
  <si>
    <t>Tóth Zoltán</t>
  </si>
  <si>
    <t>031586964</t>
  </si>
  <si>
    <t>2025.09.25 11:43:00</t>
  </si>
  <si>
    <t>HNG-2025-5990</t>
  </si>
  <si>
    <t>Udvardi Boglárka</t>
  </si>
  <si>
    <t>2025.09.25 12:50:00</t>
  </si>
  <si>
    <t>HNG-2025-5992</t>
  </si>
  <si>
    <t>Kulisek Adrienn</t>
  </si>
  <si>
    <t>2025.09.25 14:30:00</t>
  </si>
  <si>
    <t>HNG-2025-5993</t>
  </si>
  <si>
    <t>Bálint Boglárka Tünde</t>
  </si>
  <si>
    <t>2025.09.25 14:51:00</t>
  </si>
  <si>
    <t>HNG-2025-5995</t>
  </si>
  <si>
    <t>Tamás Adél Eszter</t>
  </si>
  <si>
    <t>2025.09.26 07:21:00</t>
  </si>
  <si>
    <t>HNG-2025-5996</t>
  </si>
  <si>
    <t>Czifra Hajnalka</t>
  </si>
  <si>
    <t>087223558</t>
  </si>
  <si>
    <t>2025.09.26 07:28:00</t>
  </si>
  <si>
    <t>HNG-2025-5997</t>
  </si>
  <si>
    <t>Ádám Judit</t>
  </si>
  <si>
    <t>090138407</t>
  </si>
  <si>
    <t>2025.09.26 07:40:00</t>
  </si>
  <si>
    <t>HNG-2025-5999</t>
  </si>
  <si>
    <t>Channel Jacob Owen</t>
  </si>
  <si>
    <t>2025.09.26 07:50:00</t>
  </si>
  <si>
    <t>HNG-2025-6000</t>
  </si>
  <si>
    <t>Szabó Antónia Dóra</t>
  </si>
  <si>
    <t>2025.09.26 08:03:00</t>
  </si>
  <si>
    <t>HNG-2025-6021</t>
  </si>
  <si>
    <t>Boukadida Samar</t>
  </si>
  <si>
    <t>2025.09.29 08:01:00</t>
  </si>
  <si>
    <t>HNG-2025-6024</t>
  </si>
  <si>
    <t>Butt Róbert</t>
  </si>
  <si>
    <t>037388292</t>
  </si>
  <si>
    <t>2025.09.29 09:21:00</t>
  </si>
  <si>
    <t>HNG-2025-6026</t>
  </si>
  <si>
    <t>Simon Anna</t>
  </si>
  <si>
    <t>089889288</t>
  </si>
  <si>
    <t>2025.09.29 10:03:00</t>
  </si>
  <si>
    <t>HNG-2025-6030</t>
  </si>
  <si>
    <t>Tumpek Ákos</t>
  </si>
  <si>
    <t>2025.09.29 10:44:00</t>
  </si>
  <si>
    <t>HNG-2025-6032</t>
  </si>
  <si>
    <t>Czobor Vivien</t>
  </si>
  <si>
    <t>092299869</t>
  </si>
  <si>
    <t>2025.09.29 11:07:00</t>
  </si>
  <si>
    <t>JASZ-2025-276</t>
  </si>
  <si>
    <t>Herczig Dóra</t>
  </si>
  <si>
    <t>2025.09.29 12:34:00</t>
  </si>
  <si>
    <t>HNG-2025-6042</t>
  </si>
  <si>
    <t>Nagy Angéla Ilona</t>
  </si>
  <si>
    <t>095758606</t>
  </si>
  <si>
    <t>2025.09.29 14:59:00</t>
  </si>
  <si>
    <t>JASZ-2025-281</t>
  </si>
  <si>
    <t>Szűcs Zoltán Máté</t>
  </si>
  <si>
    <t>034446029</t>
  </si>
  <si>
    <t>2025.09.30 07:28:00</t>
  </si>
  <si>
    <t>JASZ-2025-282</t>
  </si>
  <si>
    <t>Deregi Zsófia</t>
  </si>
  <si>
    <t>2025.09.30 07:39:00</t>
  </si>
  <si>
    <t>HNG-2025-6055</t>
  </si>
  <si>
    <t>Papdi Viktória</t>
  </si>
  <si>
    <t>2025.09.30 08:54:00</t>
  </si>
  <si>
    <t>JASZ-2025-284</t>
  </si>
  <si>
    <t>Nagyné Horváth Anita</t>
  </si>
  <si>
    <t>089631764</t>
  </si>
  <si>
    <t>2025.09.30 09:38:00</t>
  </si>
  <si>
    <t>HNG-2025-6060</t>
  </si>
  <si>
    <t>Rácz Enikő Leila</t>
  </si>
  <si>
    <t>2025.09.30 10:15:00</t>
  </si>
  <si>
    <t>HNG-2025-6061</t>
  </si>
  <si>
    <t>Sólyom Gergely</t>
  </si>
  <si>
    <t>2025.09.30 10:21:00</t>
  </si>
  <si>
    <t>JASZ-2025-285</t>
  </si>
  <si>
    <t>Juhász Luca</t>
  </si>
  <si>
    <t>2025.09.30 10:37:00</t>
  </si>
  <si>
    <t>HNG-2025-6062</t>
  </si>
  <si>
    <t>Kenéz Orsolya</t>
  </si>
  <si>
    <t>080595591</t>
  </si>
  <si>
    <t>2025.09.30 10:42:00</t>
  </si>
  <si>
    <t>JASZ-2025-287</t>
  </si>
  <si>
    <t>Tordai Kevin</t>
  </si>
  <si>
    <t>2025.09.30 12:30:00</t>
  </si>
  <si>
    <t>HNG-2025-6063</t>
  </si>
  <si>
    <t>Pintér Melinda</t>
  </si>
  <si>
    <t>082159416</t>
  </si>
  <si>
    <t>2025.09.30 10:52:00</t>
  </si>
  <si>
    <t>JASZ-2025-286</t>
  </si>
  <si>
    <t>Rácz Klára</t>
  </si>
  <si>
    <t>2025.09.30 11:10:00</t>
  </si>
  <si>
    <t>HNG-2025-6066</t>
  </si>
  <si>
    <t>Németh Anita</t>
  </si>
  <si>
    <t>093064204</t>
  </si>
  <si>
    <t>2025.09.30 14:03:00</t>
  </si>
  <si>
    <t>JASZ-2025-288</t>
  </si>
  <si>
    <t>Molnár Dániel</t>
  </si>
  <si>
    <t>041317358</t>
  </si>
  <si>
    <t>2025.09.30 14:04:00</t>
  </si>
  <si>
    <t>JASZ-2025-289</t>
  </si>
  <si>
    <t>Ruzsa Antal</t>
  </si>
  <si>
    <t>2025.09.30 14:42:00</t>
  </si>
  <si>
    <t>JASZ-2025-290</t>
  </si>
  <si>
    <t>Szilágyi Fruzsina Diána</t>
  </si>
  <si>
    <t>2025.09.30 14:50:00</t>
  </si>
  <si>
    <t>HNG-2025-6067</t>
  </si>
  <si>
    <t>Ferov-Nagy Máté</t>
  </si>
  <si>
    <t>042205292</t>
  </si>
  <si>
    <t>2025.09.30 16:24:00</t>
  </si>
  <si>
    <t>HNG-2025-6068</t>
  </si>
  <si>
    <t>Masko Shevnina Katia</t>
  </si>
  <si>
    <t>2025.09.30 16:26:00</t>
  </si>
  <si>
    <t>HNG-2025-6069</t>
  </si>
  <si>
    <t>Erdei Katalin</t>
  </si>
  <si>
    <t>2025.09.30 16:30:00</t>
  </si>
  <si>
    <t>HNG-2025-6070</t>
  </si>
  <si>
    <t>Hidvégi-Mester Eszter</t>
  </si>
  <si>
    <t>091410904</t>
  </si>
  <si>
    <t>2025.09.30 16:43:00</t>
  </si>
  <si>
    <t>Abesse 'B' csomag</t>
  </si>
  <si>
    <t>Nátrium (Na)</t>
  </si>
  <si>
    <t>Nutritív allergiapanel - teljes, 34 allergén</t>
  </si>
  <si>
    <t>Összfehérje</t>
  </si>
  <si>
    <t>Parathormon (PTH)</t>
  </si>
  <si>
    <t>Progeszteron</t>
  </si>
  <si>
    <t>MAESZ-2025-2774</t>
  </si>
  <si>
    <t>Holló Lászlóné</t>
  </si>
  <si>
    <t>059288185</t>
  </si>
  <si>
    <t>2025.09.27 11:37:00</t>
  </si>
  <si>
    <t>Vörösvérsejt süllyedés</t>
  </si>
  <si>
    <t>Szabad T3 (fT3)</t>
  </si>
  <si>
    <t>Szabad T4 (fT4)</t>
  </si>
  <si>
    <t>HNG-2025-6036</t>
  </si>
  <si>
    <t>Kovács Nóra Dr.</t>
  </si>
  <si>
    <t>087144846</t>
  </si>
  <si>
    <t>2025.09.29 11:27:00</t>
  </si>
  <si>
    <t>ALDI-2025-29</t>
  </si>
  <si>
    <t>Gergely Éva</t>
  </si>
  <si>
    <t>089013038</t>
  </si>
  <si>
    <t>2025.09.30 08:55:00</t>
  </si>
  <si>
    <t>TSH receptor elleni antitest (TRAK)</t>
  </si>
  <si>
    <t>Transzferrin</t>
  </si>
  <si>
    <t>Trigliceridek</t>
  </si>
  <si>
    <t>TSH</t>
  </si>
  <si>
    <t>HNG-2025-5978</t>
  </si>
  <si>
    <t>Vincze Bettina</t>
  </si>
  <si>
    <t>2025.09.25 08:45:00</t>
  </si>
  <si>
    <t>HNG-2025-5878</t>
  </si>
  <si>
    <t>Ács Flóra</t>
  </si>
  <si>
    <t>091246073</t>
  </si>
  <si>
    <t>2025.09.18 10:09:00</t>
  </si>
  <si>
    <t>HNG-2025-5731</t>
  </si>
  <si>
    <t>Romhányi Vivien</t>
  </si>
  <si>
    <t>2025.09.11 09:33:00</t>
  </si>
  <si>
    <t>HNG-2025-5703</t>
  </si>
  <si>
    <t>Csekéné Dr. Szegedi Mónika</t>
  </si>
  <si>
    <t>073864440</t>
  </si>
  <si>
    <t>2025.09.10 09:31:00</t>
  </si>
  <si>
    <t>HNG-2025-5602</t>
  </si>
  <si>
    <t>Hidasiné Róka Bernadett</t>
  </si>
  <si>
    <t>091191090</t>
  </si>
  <si>
    <t>2025.09.04 14:45:00</t>
  </si>
  <si>
    <t>HNG-2025-5598</t>
  </si>
  <si>
    <t>Andor Júlia Anna</t>
  </si>
  <si>
    <t>2025.09.04 11:12:00</t>
  </si>
  <si>
    <t>HNG-2025-5994</t>
  </si>
  <si>
    <t>Kovács Bernadett</t>
  </si>
  <si>
    <t>084057411</t>
  </si>
  <si>
    <t>2025.09.25 15:36:00</t>
  </si>
  <si>
    <t>MAESZ-2025-2742</t>
  </si>
  <si>
    <t>Magda Árpád</t>
  </si>
  <si>
    <t>029035445</t>
  </si>
  <si>
    <t>2025.09.25 12:54:00</t>
  </si>
  <si>
    <t>HNG-2025-5982</t>
  </si>
  <si>
    <t>HNG-2025-5983</t>
  </si>
  <si>
    <t>2025.09.25 09:49:00</t>
  </si>
  <si>
    <t>JASZ-2025-280</t>
  </si>
  <si>
    <t>Pipók Zsuzsanna</t>
  </si>
  <si>
    <t>077518994</t>
  </si>
  <si>
    <t>2025.09.29 14:57:00</t>
  </si>
  <si>
    <t>HNG-2025-6028</t>
  </si>
  <si>
    <t>Klapka Alma Dr.</t>
  </si>
  <si>
    <t>092052596</t>
  </si>
  <si>
    <t>2025.09.29 10:18:00</t>
  </si>
  <si>
    <t>JASZ-2025-256</t>
  </si>
  <si>
    <t>Márton Mária Dr.</t>
  </si>
  <si>
    <t>087716496</t>
  </si>
  <si>
    <t>2025.09.24 10:05:00</t>
  </si>
  <si>
    <t>12 elvezetéses nyugalmi EKG vizsgálat</t>
  </si>
  <si>
    <t>Vas (Fe)</t>
  </si>
  <si>
    <t>MAESZ-2025-2824</t>
  </si>
  <si>
    <t>Ormándi Babett</t>
  </si>
  <si>
    <t>2025.09.29 13:26:00</t>
  </si>
  <si>
    <t>Glükóz</t>
  </si>
  <si>
    <t>HNG-2025-6045</t>
  </si>
  <si>
    <t>Juhász Henrietta</t>
  </si>
  <si>
    <t>090111165</t>
  </si>
  <si>
    <t>2025.09.30 06:51:00</t>
  </si>
  <si>
    <t>3 pontos cukorterhelés</t>
  </si>
  <si>
    <t>JASZ-2025-222</t>
  </si>
  <si>
    <t>Szikszai Ferenc</t>
  </si>
  <si>
    <t>016612547</t>
  </si>
  <si>
    <t>Teljes vizelet + üledék</t>
  </si>
  <si>
    <t>HNG-2025-5603</t>
  </si>
  <si>
    <t>Molnár Sándorné</t>
  </si>
  <si>
    <t>066264495</t>
  </si>
  <si>
    <t>2025.09.05 07:30:00</t>
  </si>
  <si>
    <t>Synlab Kálcium</t>
  </si>
  <si>
    <t>Androszténdion</t>
  </si>
  <si>
    <t>DHEA-szulfát (DHEAS)</t>
  </si>
  <si>
    <t>HNG-2025-5478</t>
  </si>
  <si>
    <t>Fehér Éva Dr.</t>
  </si>
  <si>
    <t>078438109</t>
  </si>
  <si>
    <t>2025.09.01 11:11:00</t>
  </si>
  <si>
    <t>B12 vitamin</t>
  </si>
  <si>
    <t>HNG-2025-6046</t>
  </si>
  <si>
    <t>Márkus Csilla Erika</t>
  </si>
  <si>
    <t>093301419</t>
  </si>
  <si>
    <t>ALDI-2025-47</t>
  </si>
  <si>
    <t>Kállai Ildikó</t>
  </si>
  <si>
    <t>068764111</t>
  </si>
  <si>
    <t>2025.09.30 13:08:00</t>
  </si>
  <si>
    <t>17-OH progeszteron</t>
  </si>
  <si>
    <t>HNG-2025-5580</t>
  </si>
  <si>
    <t>Stiller Ferenc Zoltán</t>
  </si>
  <si>
    <t>2025.09.03 15:23:00</t>
  </si>
  <si>
    <t>Lelet másolat</t>
  </si>
  <si>
    <t>HNG-2025-5864</t>
  </si>
  <si>
    <t>Tóth Livia</t>
  </si>
  <si>
    <t>2025.09.17 11:33:00</t>
  </si>
  <si>
    <t>HNG-2025-5929</t>
  </si>
  <si>
    <t>Szilágyi Andrea</t>
  </si>
  <si>
    <t>2025.09.22 10:51:00</t>
  </si>
  <si>
    <t>Aldoszteron</t>
  </si>
  <si>
    <t>HNG-2025-5858</t>
  </si>
  <si>
    <t>Hegedűs Péter Dr.</t>
  </si>
  <si>
    <t>037535070</t>
  </si>
  <si>
    <t>2025.09.17 09:14:00</t>
  </si>
  <si>
    <t>Belgyógyászati szakorvosi vizsgálat</t>
  </si>
  <si>
    <t>HNG-2025-5930</t>
  </si>
  <si>
    <t>Farkas Róbert</t>
  </si>
  <si>
    <t>034378111</t>
  </si>
  <si>
    <t>2025.09.22 10:59:00</t>
  </si>
  <si>
    <t>Fül-orr-Gégészet szakorvosi vizsgálat</t>
  </si>
  <si>
    <t>JASZ-2025-237</t>
  </si>
  <si>
    <t>Papp Zsolt</t>
  </si>
  <si>
    <t>040010393</t>
  </si>
  <si>
    <t>2025.09.22 10:38:00</t>
  </si>
  <si>
    <t>Urológiai szakorvosi vizsgálat</t>
  </si>
  <si>
    <t>HNG-2025-5926</t>
  </si>
  <si>
    <t>Mészáros István</t>
  </si>
  <si>
    <t>034297797</t>
  </si>
  <si>
    <t>2025.09.22 10:22:00</t>
  </si>
  <si>
    <t>JASZ-2025-223</t>
  </si>
  <si>
    <t>Karisztl Péter</t>
  </si>
  <si>
    <t>2025.09.17 10:13:00</t>
  </si>
  <si>
    <t>HNG-2025-5800</t>
  </si>
  <si>
    <t>Németh Balázs</t>
  </si>
  <si>
    <t>037573360</t>
  </si>
  <si>
    <t>2025.09.15 09:21:00</t>
  </si>
  <si>
    <t>JASZ-2025-208</t>
  </si>
  <si>
    <t>Kopp Péter</t>
  </si>
  <si>
    <t>021795259</t>
  </si>
  <si>
    <t>2025.09.15 09:07:00</t>
  </si>
  <si>
    <t>HNG-2025-5562</t>
  </si>
  <si>
    <t>Ilosvai Péter</t>
  </si>
  <si>
    <t>026015433</t>
  </si>
  <si>
    <t>2025.09.03 10:39:00</t>
  </si>
  <si>
    <t>JASZ-2025-177</t>
  </si>
  <si>
    <t>Hais Barnabás</t>
  </si>
  <si>
    <t>016503207</t>
  </si>
  <si>
    <t>2025.09.01 10:46:00</t>
  </si>
  <si>
    <t>HNG-2025-5476</t>
  </si>
  <si>
    <t>Dosztály József</t>
  </si>
  <si>
    <t>023235805</t>
  </si>
  <si>
    <t>2025.09.01 10:58:00</t>
  </si>
  <si>
    <t>JASZ-2025-176</t>
  </si>
  <si>
    <t>Szénási Károly Noel</t>
  </si>
  <si>
    <t>2025.09.01 09:35:00</t>
  </si>
  <si>
    <t>HNG-2025-5635</t>
  </si>
  <si>
    <t>Kiss Gábor</t>
  </si>
  <si>
    <t>033419482</t>
  </si>
  <si>
    <t>2025.09.08 09:39:00</t>
  </si>
  <si>
    <t>HNG-2025-5480</t>
  </si>
  <si>
    <t>Recskó Laura Klaudia</t>
  </si>
  <si>
    <t>2025.09.01 11:44:00</t>
  </si>
  <si>
    <t>Komplex Szemészeti szakorvosi vizsgálat</t>
  </si>
  <si>
    <t>HNG-2025-5801</t>
  </si>
  <si>
    <t>Horváth Zoltán Dr.</t>
  </si>
  <si>
    <t>019110334</t>
  </si>
  <si>
    <t>2025.09.15 09:33:00</t>
  </si>
  <si>
    <t>HNG-2025-5828</t>
  </si>
  <si>
    <t>Gárdonyi Ágnes</t>
  </si>
  <si>
    <t>088867027</t>
  </si>
  <si>
    <t>2025.09.15 12:57:00</t>
  </si>
  <si>
    <t>HNG-2025-5824</t>
  </si>
  <si>
    <t>Nováky Béláné</t>
  </si>
  <si>
    <t>061682830</t>
  </si>
  <si>
    <t>2025.09.15 12:24:00</t>
  </si>
  <si>
    <t>JASZ-2025-241</t>
  </si>
  <si>
    <t>Mackó Tamás Istvánné</t>
  </si>
  <si>
    <t>061206953</t>
  </si>
  <si>
    <t>2025.09.22 11:23:00</t>
  </si>
  <si>
    <t>JASZ-2025-273</t>
  </si>
  <si>
    <t>Erős Éva</t>
  </si>
  <si>
    <t>084035916</t>
  </si>
  <si>
    <t>2025.09.29 09:44:00</t>
  </si>
  <si>
    <t>HNG-2025-6029</t>
  </si>
  <si>
    <t>Birtók Bence</t>
  </si>
  <si>
    <t>039629889</t>
  </si>
  <si>
    <t>2025.09.29 10:38:00</t>
  </si>
  <si>
    <t>Mammográfia</t>
  </si>
  <si>
    <t>HNG-2025-5884</t>
  </si>
  <si>
    <t>Bata Edit</t>
  </si>
  <si>
    <t>094278295</t>
  </si>
  <si>
    <t>2025.09.18 11:40:00</t>
  </si>
  <si>
    <t>JASZ-2025-197</t>
  </si>
  <si>
    <t>Schermann-Tóth Adrienn Erzsébet</t>
  </si>
  <si>
    <t>087676837</t>
  </si>
  <si>
    <t>2025.09.05 08:18:00</t>
  </si>
  <si>
    <t>HNG-2025-5596</t>
  </si>
  <si>
    <t>Thassy Miklós</t>
  </si>
  <si>
    <t>2025.09.04 10:36:00</t>
  </si>
  <si>
    <t>Neurológiai szakorvosi vizsgálat</t>
  </si>
  <si>
    <t>HNG-2025-5739</t>
  </si>
  <si>
    <t>Jakubik Anna</t>
  </si>
  <si>
    <t>092519794</t>
  </si>
  <si>
    <t>2025.09.11 11:34:00</t>
  </si>
  <si>
    <t>HNG-2025-5734</t>
  </si>
  <si>
    <t>Gyarmati Károly</t>
  </si>
  <si>
    <t>041357446</t>
  </si>
  <si>
    <t>2025.09.11 10:24:00</t>
  </si>
  <si>
    <t>HNG-2025-5741</t>
  </si>
  <si>
    <t>Ciuraru Benjamin</t>
  </si>
  <si>
    <t>2025.09.11 12:00:00</t>
  </si>
  <si>
    <t>HNG-2025-5986</t>
  </si>
  <si>
    <t>Veresegyházi Emma Sára</t>
  </si>
  <si>
    <t>2025.09.25 11:33:00</t>
  </si>
  <si>
    <t>HNG-2025-6037</t>
  </si>
  <si>
    <t>Ferencsik Gabriella</t>
  </si>
  <si>
    <t>085105553</t>
  </si>
  <si>
    <t>2025.09.29 11:53:00</t>
  </si>
  <si>
    <t>Bőrnövedék eltávolítás – LIPRI krémes érzéstelenítés 1-5 db</t>
  </si>
  <si>
    <t>HNG-2025-5711</t>
  </si>
  <si>
    <t>Mészáros Kamilla</t>
  </si>
  <si>
    <t>2025.09.10 11:04:00</t>
  </si>
  <si>
    <t>HNG-2025-5907</t>
  </si>
  <si>
    <t>Wölfling Anna</t>
  </si>
  <si>
    <t>070901975</t>
  </si>
  <si>
    <t>2025.09.19 11:26:00</t>
  </si>
  <si>
    <t>JASZ-2025-262</t>
  </si>
  <si>
    <t>Modisett Matthew Clayton</t>
  </si>
  <si>
    <t>2025.09.24 13:54:00</t>
  </si>
  <si>
    <t>JASZ-2025-258</t>
  </si>
  <si>
    <t>Endrődi Dénes János</t>
  </si>
  <si>
    <t>094744286</t>
  </si>
  <si>
    <t>2025.09.24 10:08:00</t>
  </si>
  <si>
    <t>Bőrnövedék eltávolítás – LIPRI krémes érzéstelenítés 6-10 db</t>
  </si>
  <si>
    <t>JASZ-2025-178</t>
  </si>
  <si>
    <t>Gábriel Zoltánné</t>
  </si>
  <si>
    <t>081199460</t>
  </si>
  <si>
    <t>2025.09.01 11:14:00</t>
  </si>
  <si>
    <t>HNG-2025-5718</t>
  </si>
  <si>
    <t>Franz Anand Benjamin</t>
  </si>
  <si>
    <t>2025.09.10 13:39:00</t>
  </si>
  <si>
    <t>Bőrnövedék eltávolítás – LIPRI krémes érzéstelenítés 10 db felett</t>
  </si>
  <si>
    <t>HNG-2025-5627</t>
  </si>
  <si>
    <t>Pataki Diána Mária</t>
  </si>
  <si>
    <t>2025.09.05 14:33:00</t>
  </si>
  <si>
    <t>HNG-2025-5901</t>
  </si>
  <si>
    <t>Laincsek Rita Lídia</t>
  </si>
  <si>
    <t>079222718</t>
  </si>
  <si>
    <t>2025.09.19 10:01:00</t>
  </si>
  <si>
    <t>Bőrnövedék eltávolítás – Lidocainos érzéstelenítés 1-3 db</t>
  </si>
  <si>
    <t>JASZ-2025-215</t>
  </si>
  <si>
    <t>Hagymási László</t>
  </si>
  <si>
    <t>020618359</t>
  </si>
  <si>
    <t>2025.09.15 14:10:00</t>
  </si>
  <si>
    <t>HNG-2025-5963</t>
  </si>
  <si>
    <t>Danok Edit</t>
  </si>
  <si>
    <t>074571712</t>
  </si>
  <si>
    <t>2025.09.24 10:39:00</t>
  </si>
  <si>
    <t>HNG-2025-5574</t>
  </si>
  <si>
    <t>Karácsony Ildikó</t>
  </si>
  <si>
    <t>2025.09.03 13:18:00</t>
  </si>
  <si>
    <t>HNG-2025-6035</t>
  </si>
  <si>
    <t>Fonyódi Patrícia</t>
  </si>
  <si>
    <t>2025.09.29 11:26:00</t>
  </si>
  <si>
    <t>CA 15-3</t>
  </si>
  <si>
    <t>CA 19-9</t>
  </si>
  <si>
    <t>CA 72-4</t>
  </si>
  <si>
    <t>Klorid (Cl)</t>
  </si>
  <si>
    <t>Alkalikus foszfatáz</t>
  </si>
  <si>
    <t>Laktát-dehidrogenáz (LDH)</t>
  </si>
  <si>
    <t>Kreatin-kináz (CK)</t>
  </si>
  <si>
    <t>HNG-2025-5797</t>
  </si>
  <si>
    <t>Mohos Mariann Dr. I.</t>
  </si>
  <si>
    <t>080202248</t>
  </si>
  <si>
    <t>Vérkép</t>
  </si>
  <si>
    <t>Leptin</t>
  </si>
  <si>
    <t>Prolaktin</t>
  </si>
  <si>
    <t>synlab Szabad és biológiailag aktív tesztoszteron (SHBG, Totál tesztoszteron és Albumin méréssel együtt)</t>
  </si>
  <si>
    <t>JASZ-2025-259</t>
  </si>
  <si>
    <t>Bódis Róbert Sándor Dr.</t>
  </si>
  <si>
    <t>2025.09.24 12:18:00</t>
  </si>
  <si>
    <t>SYNLAB - HE4</t>
  </si>
  <si>
    <t>MAESZ-2025-2718</t>
  </si>
  <si>
    <t>Sőrés Lajos</t>
  </si>
  <si>
    <t>025009521</t>
  </si>
  <si>
    <t>2025.09.24 09:17:00</t>
  </si>
  <si>
    <t>Prosztata specifikus antigén (PSA)</t>
  </si>
  <si>
    <t>HNG-2025-5707</t>
  </si>
  <si>
    <t>Halmos Péter</t>
  </si>
  <si>
    <t>032346325</t>
  </si>
  <si>
    <t>2025.09.10 10:08:00</t>
  </si>
  <si>
    <t>HNG-2025-6023</t>
  </si>
  <si>
    <t>2025.09.29 09:18:00</t>
  </si>
  <si>
    <t>MAESZ-2025-2772</t>
  </si>
  <si>
    <t>Lónyai Miklós László</t>
  </si>
  <si>
    <t>019884143</t>
  </si>
  <si>
    <t>2025.09.27 11:28:00</t>
  </si>
  <si>
    <t>MAESZ-2025-2776</t>
  </si>
  <si>
    <t>Varga Mihály</t>
  </si>
  <si>
    <t>2025.09.27 14:04:00</t>
  </si>
  <si>
    <t>Ösztradiol (E2)</t>
  </si>
  <si>
    <t>Foszfát (P)</t>
  </si>
  <si>
    <t>HNG-2025-5977</t>
  </si>
  <si>
    <t>2025.09.25 08:12:00</t>
  </si>
  <si>
    <t>SYNLAB - Calprotectin</t>
  </si>
  <si>
    <t>HNG-2025-5961</t>
  </si>
  <si>
    <t>Benda Gillian</t>
  </si>
  <si>
    <t>2025.09.24 09:44:00</t>
  </si>
  <si>
    <t>Kerek csomag</t>
  </si>
  <si>
    <t>HNG-2025-5843</t>
  </si>
  <si>
    <t>Beck Judit</t>
  </si>
  <si>
    <t>075411923</t>
  </si>
  <si>
    <t>2025.09.16 08:27:00</t>
  </si>
  <si>
    <t>Pajzsmirigy bázis csomag (TSH,T3,T4)</t>
  </si>
  <si>
    <t>HNG-2025-5789</t>
  </si>
  <si>
    <t>Jónás Mónika</t>
  </si>
  <si>
    <t>092626133</t>
  </si>
  <si>
    <t>2025.09.15 07:22:00</t>
  </si>
  <si>
    <t>HNG-2025-5644</t>
  </si>
  <si>
    <t>Simon Andrea</t>
  </si>
  <si>
    <t>081503249</t>
  </si>
  <si>
    <t>2025.09.08 11:26:00</t>
  </si>
  <si>
    <t>HNG-2025-5657</t>
  </si>
  <si>
    <t>Imre Viktória</t>
  </si>
  <si>
    <t>083395730</t>
  </si>
  <si>
    <t>2025.09.08 14:41:00</t>
  </si>
  <si>
    <t>JASZ-2025-187</t>
  </si>
  <si>
    <t>Vajó Gáspár István</t>
  </si>
  <si>
    <t>021021464</t>
  </si>
  <si>
    <t>2025.09.01 18:29:00</t>
  </si>
  <si>
    <t>Kardiológiai szakorvosi vizsgálat nyugalmi EKG-val és szív-ultrahanggal</t>
  </si>
  <si>
    <t>JASZ-2025-188</t>
  </si>
  <si>
    <t>Suplicz Anita</t>
  </si>
  <si>
    <t>083096107</t>
  </si>
  <si>
    <t>2025.09.01 19:02:00</t>
  </si>
  <si>
    <t>HNG-2025-5784</t>
  </si>
  <si>
    <t>Dr. Egri Tamás</t>
  </si>
  <si>
    <t>010376317</t>
  </si>
  <si>
    <t>2025.09.12 13:47:00</t>
  </si>
  <si>
    <t>HNG-2025-5899</t>
  </si>
  <si>
    <t>Jánosi Rezső</t>
  </si>
  <si>
    <t>012970612</t>
  </si>
  <si>
    <t>2025.09.19 09:46:00</t>
  </si>
  <si>
    <t>JASZ-2025-246</t>
  </si>
  <si>
    <t>Zrónik Mihályné</t>
  </si>
  <si>
    <t>065678556</t>
  </si>
  <si>
    <t>2025.09.22 12:34:00</t>
  </si>
  <si>
    <t>JASZ-2025-277</t>
  </si>
  <si>
    <t>Pálinkás Eszter</t>
  </si>
  <si>
    <t>2025.09.29 12:37:00</t>
  </si>
  <si>
    <t>HNG-2025-6007</t>
  </si>
  <si>
    <t>Gulyás Béla</t>
  </si>
  <si>
    <t>2025.09.26 09:52:00</t>
  </si>
  <si>
    <t>JASZ-2025-230</t>
  </si>
  <si>
    <t>Kelemen Kálmán</t>
  </si>
  <si>
    <t>028913737</t>
  </si>
  <si>
    <t>2025.09.22 08:34:00</t>
  </si>
  <si>
    <t>HOLTER (24 órás EKG monitorzás) szakorvosi kiértékeléssel</t>
  </si>
  <si>
    <t>JASZ-2025-251</t>
  </si>
  <si>
    <t>Hőnigh Zsuzsanna Dr.</t>
  </si>
  <si>
    <t>078128844</t>
  </si>
  <si>
    <t>2025.09.22 13:01:00</t>
  </si>
  <si>
    <t>ABPM (24 órás vérnyomásmérés) szakorvosi klértékeléssel</t>
  </si>
  <si>
    <t>HNG-2025-5964</t>
  </si>
  <si>
    <t>Palkovics Molnár Orsolya</t>
  </si>
  <si>
    <t>092046058</t>
  </si>
  <si>
    <t>2025.09.24 10:49:00</t>
  </si>
  <si>
    <t>Nőgyógyászati szűrővizsgálat (hüvelyi ultrahanggal, rákszűréssel)</t>
  </si>
  <si>
    <t>HNG-2025-5772</t>
  </si>
  <si>
    <t>Punok Gabriella</t>
  </si>
  <si>
    <t>2025.09.12 11:10:00</t>
  </si>
  <si>
    <t>JASZ-2025-209</t>
  </si>
  <si>
    <t>Helmeczi Ildikó Klára</t>
  </si>
  <si>
    <t>084354112</t>
  </si>
  <si>
    <t>2025.09.15 09:19:00</t>
  </si>
  <si>
    <t>HNG-2025-5561</t>
  </si>
  <si>
    <t>Laki Melinda</t>
  </si>
  <si>
    <t>JASZ-2025-201</t>
  </si>
  <si>
    <t>Schinágl Rita</t>
  </si>
  <si>
    <t>2025.09.05 11:40:00</t>
  </si>
  <si>
    <t>HNG-2025-5642</t>
  </si>
  <si>
    <t>Lukácsi Kata Ágnes</t>
  </si>
  <si>
    <t>090102231</t>
  </si>
  <si>
    <t>2025.09.08 10:46:00</t>
  </si>
  <si>
    <t>Nőgyógyászati kontroll vizsgálat (3 hónapon belül)</t>
  </si>
  <si>
    <t>Szemészeti kontroll vizsgálat</t>
  </si>
  <si>
    <t>JASZ-2025-231</t>
  </si>
  <si>
    <t>Kovács István</t>
  </si>
  <si>
    <t>026030324</t>
  </si>
  <si>
    <t>2025.09.22 09:25:00</t>
  </si>
  <si>
    <t>Urológiai kontroll vizsgálat (3 hónapon belül)</t>
  </si>
  <si>
    <t>HNG-2025-5640</t>
  </si>
  <si>
    <t>Palkovits András</t>
  </si>
  <si>
    <t>035480280</t>
  </si>
  <si>
    <t>2025.09.08 10:38:00</t>
  </si>
  <si>
    <t>HNG-2025-5637</t>
  </si>
  <si>
    <t>Annane-Farkas Zsuzsanna</t>
  </si>
  <si>
    <t>076298114</t>
  </si>
  <si>
    <t>2025.09.08 10:03:00</t>
  </si>
  <si>
    <t>Hasi és kismedence ultrahang vizsgálat (nyirokcsomókkal együtt)</t>
  </si>
  <si>
    <t>HNG-2025-5641</t>
  </si>
  <si>
    <t>Deák Zsuzsanna</t>
  </si>
  <si>
    <t>2025.09.08 10:44:00</t>
  </si>
  <si>
    <t>JASZ-2025-200</t>
  </si>
  <si>
    <t>Kiss Noémi</t>
  </si>
  <si>
    <t>084239358</t>
  </si>
  <si>
    <t>2025.09.05 10:14:00</t>
  </si>
  <si>
    <t>HNG-2025-5614</t>
  </si>
  <si>
    <t>Péter Zoltán</t>
  </si>
  <si>
    <t>040088981</t>
  </si>
  <si>
    <t>2025.09.05 10:31:00</t>
  </si>
  <si>
    <t>HNG-2025-5612</t>
  </si>
  <si>
    <t>Mihály Ferencné</t>
  </si>
  <si>
    <t>076776652</t>
  </si>
  <si>
    <t>2025.09.05 09:52:00</t>
  </si>
  <si>
    <t>HNG-2025-5604</t>
  </si>
  <si>
    <t>Nagy Krisztina</t>
  </si>
  <si>
    <t>082435860</t>
  </si>
  <si>
    <t>2025.09.05 07:40:00</t>
  </si>
  <si>
    <t>HNG-2025-5708</t>
  </si>
  <si>
    <t>dr. Mudri Sándor Balázs</t>
  </si>
  <si>
    <t>040920997</t>
  </si>
  <si>
    <t>2025.09.10 10:09:00</t>
  </si>
  <si>
    <t>HNG-2025-5704</t>
  </si>
  <si>
    <t>Erdély-Káli Anita</t>
  </si>
  <si>
    <t>086569969</t>
  </si>
  <si>
    <t>2025.09.10 09:53:00</t>
  </si>
  <si>
    <t>HNG-2025-5701</t>
  </si>
  <si>
    <t>Halmi József</t>
  </si>
  <si>
    <t>015032689</t>
  </si>
  <si>
    <t>2025.09.10 08:31:00</t>
  </si>
  <si>
    <t>HNG-2025-5767</t>
  </si>
  <si>
    <t>Szilvási-Likó Szimonetta</t>
  </si>
  <si>
    <t>095716411</t>
  </si>
  <si>
    <t>2025.09.12 10:41:00</t>
  </si>
  <si>
    <t>HNG-2025-5761</t>
  </si>
  <si>
    <t>Kelemen-Varga Roland</t>
  </si>
  <si>
    <t>036471373</t>
  </si>
  <si>
    <t>2025.09.12 10:22:00</t>
  </si>
  <si>
    <t>HNG-2025-5762</t>
  </si>
  <si>
    <t>Almási Gábor</t>
  </si>
  <si>
    <t>030818714</t>
  </si>
  <si>
    <t>2025.09.12 10:29:00</t>
  </si>
  <si>
    <t>HNG-2025-5758</t>
  </si>
  <si>
    <t>Dombos Jánosné</t>
  </si>
  <si>
    <t>077129082</t>
  </si>
  <si>
    <t>2025.09.12 09:56:00</t>
  </si>
  <si>
    <t>HNG-2025-5759</t>
  </si>
  <si>
    <t>Rácz-Németh Mária</t>
  </si>
  <si>
    <t>093177803</t>
  </si>
  <si>
    <t>2025.09.12 09:57:00</t>
  </si>
  <si>
    <t>HNG-2025-5751</t>
  </si>
  <si>
    <t>Almássyné Gép Klaudia</t>
  </si>
  <si>
    <t>083353765</t>
  </si>
  <si>
    <t>2025.09.12 08:22:00</t>
  </si>
  <si>
    <t>HNG-2025-5753</t>
  </si>
  <si>
    <t>Balogh Eszter</t>
  </si>
  <si>
    <t>2025.09.12 09:09:00</t>
  </si>
  <si>
    <t>HNG-2025-5559</t>
  </si>
  <si>
    <t>Fehér Gábor</t>
  </si>
  <si>
    <t>039931306</t>
  </si>
  <si>
    <t>2025.09.03 10:18:00</t>
  </si>
  <si>
    <t>JASZ-2025-192</t>
  </si>
  <si>
    <t>Szőllősi Erika</t>
  </si>
  <si>
    <t>083411735</t>
  </si>
  <si>
    <t>2025.09.03 10:03:00</t>
  </si>
  <si>
    <t>JASZ-2025-193</t>
  </si>
  <si>
    <t>Paraskeva Olga</t>
  </si>
  <si>
    <t>HNG-2025-5466</t>
  </si>
  <si>
    <t>Páldi Eszter</t>
  </si>
  <si>
    <t>093426376</t>
  </si>
  <si>
    <t>2025.09.01 07:55:00</t>
  </si>
  <si>
    <t>JASZ-2025-257</t>
  </si>
  <si>
    <t>Pasztercsák Villő</t>
  </si>
  <si>
    <t>2025.09.24 10:07:00</t>
  </si>
  <si>
    <t>JASZ-2025-254</t>
  </si>
  <si>
    <t>Papp Bence</t>
  </si>
  <si>
    <t>044459972</t>
  </si>
  <si>
    <t>2025.09.24 09:16:00</t>
  </si>
  <si>
    <t>HNG-2025-5798</t>
  </si>
  <si>
    <t>2025.09.15 09:08:00</t>
  </si>
  <si>
    <t>HNG-2025-5806</t>
  </si>
  <si>
    <t>Pászti Balázsné</t>
  </si>
  <si>
    <t>073588467</t>
  </si>
  <si>
    <t>HNG-2025-5773</t>
  </si>
  <si>
    <t>Szili Alida</t>
  </si>
  <si>
    <t>094564408</t>
  </si>
  <si>
    <t>2025.09.12 11:17:00</t>
  </si>
  <si>
    <t>HNG-2025-5902</t>
  </si>
  <si>
    <t>Kalina Erzsébet</t>
  </si>
  <si>
    <t>084562971</t>
  </si>
  <si>
    <t>2025.09.19 10:09:00</t>
  </si>
  <si>
    <t>HNG-2025-5904</t>
  </si>
  <si>
    <t>Von Bartheldné Ábri Judit</t>
  </si>
  <si>
    <t>071239675</t>
  </si>
  <si>
    <t>2025.09.19 10:26:00</t>
  </si>
  <si>
    <t>JASZ-2025-217</t>
  </si>
  <si>
    <t>2025.09.17 08:45:00</t>
  </si>
  <si>
    <t>JASZ-2025-218</t>
  </si>
  <si>
    <t>Székelyné Baranyai Andrea Zsuzsanna</t>
  </si>
  <si>
    <t>078762169</t>
  </si>
  <si>
    <t>2025.09.17 09:10:00</t>
  </si>
  <si>
    <t>HNG-2025-5856</t>
  </si>
  <si>
    <t>Fister Johanna</t>
  </si>
  <si>
    <t>2025.09.17 08:00:00</t>
  </si>
  <si>
    <t>JASZ-2025-216</t>
  </si>
  <si>
    <t>Hornyák Szabina Csilla</t>
  </si>
  <si>
    <t>078584282</t>
  </si>
  <si>
    <t>2025.09.17 07:49:00</t>
  </si>
  <si>
    <t>HNG-2025-6003</t>
  </si>
  <si>
    <t>Jancsina Imre</t>
  </si>
  <si>
    <t>013775616</t>
  </si>
  <si>
    <t>2025.09.26 09:07:00</t>
  </si>
  <si>
    <t>HNG-2025-5998</t>
  </si>
  <si>
    <t>Kapotsfy Miklósné</t>
  </si>
  <si>
    <t>074395035</t>
  </si>
  <si>
    <t>2025.09.26 07:43:00</t>
  </si>
  <si>
    <t>JASZ-2025-263</t>
  </si>
  <si>
    <t>2025.09.26 08:12:00</t>
  </si>
  <si>
    <t>JASZ-2025-264</t>
  </si>
  <si>
    <t>Bernáth Margit</t>
  </si>
  <si>
    <t>084471925</t>
  </si>
  <si>
    <t>2025.09.26 08:22:00</t>
  </si>
  <si>
    <t>HNG-2025-5550</t>
  </si>
  <si>
    <t>Gyémánt László</t>
  </si>
  <si>
    <t>022301194</t>
  </si>
  <si>
    <t>2025.09.03 08:16:00</t>
  </si>
  <si>
    <t>Nyaki erek/Carotis Doppler ultrahang vizsgálat</t>
  </si>
  <si>
    <t>HNG-2025-5960</t>
  </si>
  <si>
    <t>Gál Szilvia</t>
  </si>
  <si>
    <t>079817248</t>
  </si>
  <si>
    <t>2025.09.24 09:21:00</t>
  </si>
  <si>
    <t>Mozgásszervi vizsgálat</t>
  </si>
  <si>
    <t>Pajzsmirigy Komplex csomag (TSH,T3,T4,TRAK, Anti-TPO)</t>
  </si>
  <si>
    <t>Emlő plusz nyirokrégiók ultrahang</t>
  </si>
  <si>
    <t>JASZ-2025-233</t>
  </si>
  <si>
    <t>Rák Nikolett Dr.</t>
  </si>
  <si>
    <t>086006927</t>
  </si>
  <si>
    <t>2025.09.22 09:46:00</t>
  </si>
  <si>
    <t>HNG-2025-5766</t>
  </si>
  <si>
    <t>Breczkáné Dr. Békési Gabriella</t>
  </si>
  <si>
    <t>085523632</t>
  </si>
  <si>
    <t>2025.09.12 10:36:00</t>
  </si>
  <si>
    <t>HNG-2025-5632</t>
  </si>
  <si>
    <t>Vargáné Dr. Gerényi Mónika</t>
  </si>
  <si>
    <t>082107156</t>
  </si>
  <si>
    <t>2025.09.08 09:17:00</t>
  </si>
  <si>
    <t>SYNLAB - vércsoport meghatározás</t>
  </si>
  <si>
    <t>HNG-2025-5841</t>
  </si>
  <si>
    <t>Biró Annamária</t>
  </si>
  <si>
    <t>080692449</t>
  </si>
  <si>
    <t>2025.09.16 08:06:00</t>
  </si>
  <si>
    <t>JASZ-2025-265</t>
  </si>
  <si>
    <t>Őz-Terhes Cezarina</t>
  </si>
  <si>
    <t>093316125</t>
  </si>
  <si>
    <t>2025.09.26 09:12:00</t>
  </si>
  <si>
    <t>Nyaki lágyrész és pajzsmirigy ultrahang vizsgálat (nyirokcsomókkal együtt)</t>
  </si>
  <si>
    <t>JASZ-2025-207</t>
  </si>
  <si>
    <t>Shobaky-Bennárik Csilla</t>
  </si>
  <si>
    <t>2025.09.15 07:53:00</t>
  </si>
  <si>
    <t>JASZ-2025-224</t>
  </si>
  <si>
    <t>Dr. Víghné Somodi Éva</t>
  </si>
  <si>
    <t>2025.09.19 10:34:00</t>
  </si>
  <si>
    <t>JASZ-2025-255</t>
  </si>
  <si>
    <t>2025.09.24 10:01:00</t>
  </si>
  <si>
    <t>JASZ-2025-196</t>
  </si>
  <si>
    <t>Veszely Viktor</t>
  </si>
  <si>
    <t>033060132</t>
  </si>
  <si>
    <t>2025.09.05 08:10:00</t>
  </si>
  <si>
    <t>JASZ-2025-199</t>
  </si>
  <si>
    <t>Szlávik-Miletic Ana</t>
  </si>
  <si>
    <t>2025.09.05 09:33:00</t>
  </si>
  <si>
    <t>HNG-2025-5763</t>
  </si>
  <si>
    <t>2025.09.12 10:31:00</t>
  </si>
  <si>
    <t>HNG-2025-5755</t>
  </si>
  <si>
    <t>Csáky Zsófia Dr.</t>
  </si>
  <si>
    <t>084669166</t>
  </si>
  <si>
    <t>2025.09.12 09:40:00</t>
  </si>
  <si>
    <t>JASZ-2025-190</t>
  </si>
  <si>
    <t>Jancsovics Nikolett Petra</t>
  </si>
  <si>
    <t>2025.09.03 08:50:00</t>
  </si>
  <si>
    <t>HNG-2025-5918</t>
  </si>
  <si>
    <t>Nagy Petra Fruzsina</t>
  </si>
  <si>
    <t>2025.09.22 07:13:00</t>
  </si>
  <si>
    <t>SYNLAB - Alex 295 multiplex allergia panel</t>
  </si>
  <si>
    <t>Laktóz-intolerancia (LCT 13910 C/T)</t>
  </si>
  <si>
    <t>MAESZ-2025-2736</t>
  </si>
  <si>
    <t>Kecső Andrea</t>
  </si>
  <si>
    <t>088881739</t>
  </si>
  <si>
    <t>2025.09.25 11:21:00</t>
  </si>
  <si>
    <t>MAESZ-2025-2673</t>
  </si>
  <si>
    <t>Felde Katalin Edit</t>
  </si>
  <si>
    <t>080139555</t>
  </si>
  <si>
    <t>2025.09.20 14:52:00</t>
  </si>
  <si>
    <t>Cöliákia genetikai vizsgálata</t>
  </si>
  <si>
    <t>MAESZ-2025-2626</t>
  </si>
  <si>
    <t>Kántor-Bikki Eszter</t>
  </si>
  <si>
    <t>2025.09.14 13:52:00</t>
  </si>
  <si>
    <t>Folsav</t>
  </si>
  <si>
    <t>Cytomegalovírus (CMV) at. (IgG,IgM)</t>
  </si>
  <si>
    <t>HNG-2025-5520</t>
  </si>
  <si>
    <t>Tóth László</t>
  </si>
  <si>
    <t>026209308</t>
  </si>
  <si>
    <t>2025.09.02 12:52:00</t>
  </si>
  <si>
    <t>Borrelia at. (IgG,IgM) + Western blot</t>
  </si>
  <si>
    <t>HNG-2025-5815</t>
  </si>
  <si>
    <t>2025.09.15 11:00:00</t>
  </si>
  <si>
    <t>Rubeola védettség (IgG)</t>
  </si>
  <si>
    <t>HNG-2025-5607</t>
  </si>
  <si>
    <t>Csupiga Áron Viktor</t>
  </si>
  <si>
    <t>2025.09.05 08:15:00</t>
  </si>
  <si>
    <t>SYNLAB - Széklettenyésztés alap</t>
  </si>
  <si>
    <t>HNG-2025-5608</t>
  </si>
  <si>
    <t>HNG-2025-5873</t>
  </si>
  <si>
    <t>Herczeg Ildikó</t>
  </si>
  <si>
    <t>079839626</t>
  </si>
  <si>
    <t>2025.09.18 09:04:00</t>
  </si>
  <si>
    <t>Protozoon kimutatása székletből (Giardia, Entamoeba, Cryptosporidium)</t>
  </si>
  <si>
    <t>SYNLAB - Székletvér immunológiai kimutatás</t>
  </si>
  <si>
    <t>HNG-2025-5630</t>
  </si>
  <si>
    <t>Labáth Sándor</t>
  </si>
  <si>
    <t>014701184</t>
  </si>
  <si>
    <t>2025.09.08 08:51:00</t>
  </si>
  <si>
    <t>Kardiológiai kontroll vizsgálat (3 hónapon belül)</t>
  </si>
  <si>
    <t>HNG-2025-5760</t>
  </si>
  <si>
    <t>Tirpák Ramón</t>
  </si>
  <si>
    <t>042381707</t>
  </si>
  <si>
    <t>2025.09.12 10:17:00</t>
  </si>
  <si>
    <t>Lágyrész Ultrahang</t>
  </si>
  <si>
    <t>HNG-2025-5795</t>
  </si>
  <si>
    <t>Szőllősi Petra</t>
  </si>
  <si>
    <t>2025.09.15 08:39:00</t>
  </si>
  <si>
    <t>SHBG</t>
  </si>
  <si>
    <t>JASZ-2025-236</t>
  </si>
  <si>
    <t>Mészáros Kinga</t>
  </si>
  <si>
    <t>2025.09.22 10:10:00</t>
  </si>
  <si>
    <t>Bőrgyógyászat-Cauterrel történő eltávolítás 1-5 db képlet</t>
  </si>
  <si>
    <t>HNG-2025-5934</t>
  </si>
  <si>
    <t>Pongrácz Tamás</t>
  </si>
  <si>
    <t>2025.09.22 11:34:00</t>
  </si>
  <si>
    <t>HNG-2025-5813</t>
  </si>
  <si>
    <t>Lajos János</t>
  </si>
  <si>
    <t>033097154</t>
  </si>
  <si>
    <t>2025.09.15 10:53:00</t>
  </si>
  <si>
    <t>Cöliákia szűrés (tTg IgA, tTg IgG)</t>
  </si>
  <si>
    <t>HNG-2025-5750</t>
  </si>
  <si>
    <t>Szitás Bence Gergő</t>
  </si>
  <si>
    <t>2025.09.12 07:12:00</t>
  </si>
  <si>
    <t>HNG-2025-5546</t>
  </si>
  <si>
    <t>Bécs Dávid</t>
  </si>
  <si>
    <t>037320085</t>
  </si>
  <si>
    <t>2025.09.03 07:32:00</t>
  </si>
  <si>
    <t>Kalcium (Ca)</t>
  </si>
  <si>
    <t>Spirometria</t>
  </si>
  <si>
    <t>HNG-2025-5652</t>
  </si>
  <si>
    <t>Szekeres Erzsébet</t>
  </si>
  <si>
    <t>078009422</t>
  </si>
  <si>
    <t>2025.09.08 13:35:00</t>
  </si>
  <si>
    <t>Thyreoglobulin elleni Antitest (Anti-TG)</t>
  </si>
  <si>
    <t>BIA testösszetétel</t>
  </si>
  <si>
    <t>HNG-2025-5649</t>
  </si>
  <si>
    <t>Kőházi Tibor</t>
  </si>
  <si>
    <t>030128471</t>
  </si>
  <si>
    <t>2025.09.08 12:50:00</t>
  </si>
  <si>
    <t>HMM Platina menedzserszűrés</t>
  </si>
  <si>
    <t>HNG-2025-5489</t>
  </si>
  <si>
    <t>Pál Lajos</t>
  </si>
  <si>
    <t>021707146</t>
  </si>
  <si>
    <t>2025.09.01 14:23:00</t>
  </si>
  <si>
    <t>JASZ-2025-185</t>
  </si>
  <si>
    <t>Kovács Katalin</t>
  </si>
  <si>
    <t>075789732</t>
  </si>
  <si>
    <t>2025.09.01 14:51:00</t>
  </si>
  <si>
    <t>HNG-2025-5779</t>
  </si>
  <si>
    <t>Kovács Anita</t>
  </si>
  <si>
    <t>086491628</t>
  </si>
  <si>
    <t>2025.09.12 13:11:00</t>
  </si>
  <si>
    <t>JASZ-2025-238</t>
  </si>
  <si>
    <t>Pirositz András</t>
  </si>
  <si>
    <t>034173105</t>
  </si>
  <si>
    <t>2025.09.22 10:53:00</t>
  </si>
  <si>
    <t>JASZ-2025-240</t>
  </si>
  <si>
    <t>Bazán László</t>
  </si>
  <si>
    <t>2025.09.22 11:21:00</t>
  </si>
  <si>
    <t>Bőrgyógyászat- Sebkezelés (tisztítás,ecsetelés, kötözés)</t>
  </si>
  <si>
    <t>Follikulus Stimuláló Hormon (FSH)</t>
  </si>
  <si>
    <t>HNG-2025-5623</t>
  </si>
  <si>
    <t>Pozdyshev Maxim</t>
  </si>
  <si>
    <t>2025.09.05 13:34:00</t>
  </si>
  <si>
    <t>Jogosítvány hosszabbítás 2026</t>
  </si>
  <si>
    <t>HNG-2025-5486</t>
  </si>
  <si>
    <t>Matkovits László Lajos</t>
  </si>
  <si>
    <t>028356549</t>
  </si>
  <si>
    <t>Jogosítvány hosszabbítás foglalkozás-egészségügyi vizsgálat során 2026</t>
  </si>
  <si>
    <t>HNG-2025-5845</t>
  </si>
  <si>
    <t>Szárnyasi Mária Magdolna</t>
  </si>
  <si>
    <t>072387607</t>
  </si>
  <si>
    <t>2025.09.16 08:34:00</t>
  </si>
  <si>
    <t>Massage utáni vizelet vizsgálat</t>
  </si>
  <si>
    <t>Koleszterin</t>
  </si>
  <si>
    <t>GOT (ASAT)</t>
  </si>
  <si>
    <t>Balance - Tumormarker csomag nők részére</t>
  </si>
  <si>
    <t>HNG-2025-5499</t>
  </si>
  <si>
    <t>Borsos Leventéné</t>
  </si>
  <si>
    <t>085234837</t>
  </si>
  <si>
    <t>2025.09.02 07:10:00</t>
  </si>
  <si>
    <t>MAESZ-2025-2739</t>
  </si>
  <si>
    <t>Seres Orsolya Zsuzsanna</t>
  </si>
  <si>
    <t>088909240</t>
  </si>
  <si>
    <t>2025.09.25 11:35:00</t>
  </si>
  <si>
    <t>HNG-2025-5548</t>
  </si>
  <si>
    <t>Fodor Gábor</t>
  </si>
  <si>
    <t>2025.09.03 07:55:00</t>
  </si>
  <si>
    <t>Nagyrutin csomag nők részére (Complex Nagylabor + CA 125 + vizeletvizsgálat)</t>
  </si>
  <si>
    <t>HNG-2025-5945</t>
  </si>
  <si>
    <t>Balázs Ferenc</t>
  </si>
  <si>
    <t>037532213</t>
  </si>
  <si>
    <t>2025.09.23 07:33:00</t>
  </si>
  <si>
    <t>HNG-2025-5790</t>
  </si>
  <si>
    <t>Záhuj Beatrix</t>
  </si>
  <si>
    <t>2025.09.15 07:27:00</t>
  </si>
  <si>
    <t>Vizelettenyésztés</t>
  </si>
  <si>
    <t>Teljes vizelet (általános és üledék)</t>
  </si>
  <si>
    <t>HNG-2025-5887</t>
  </si>
  <si>
    <t>Akócsiné Kilián Szilvia</t>
  </si>
  <si>
    <t>082651075</t>
  </si>
  <si>
    <t>2025.09.18 14:29:00</t>
  </si>
  <si>
    <t>ALDI-2025-5</t>
  </si>
  <si>
    <t>Reindl József</t>
  </si>
  <si>
    <t>023325445</t>
  </si>
  <si>
    <t>2025.09.30 06:31:00</t>
  </si>
  <si>
    <t>ALDI-2025-26</t>
  </si>
  <si>
    <t>Szabó Veronika</t>
  </si>
  <si>
    <t>091464691</t>
  </si>
  <si>
    <t>2025.09.30 08:10:00</t>
  </si>
  <si>
    <t>Nagyrutin csomag férfiak részére (Complex Nagylabor + PSA + vizeletvizsgálat)</t>
  </si>
  <si>
    <t>HNG-2025-6012</t>
  </si>
  <si>
    <t>Kolozsvári Levente Alex</t>
  </si>
  <si>
    <t>090619094</t>
  </si>
  <si>
    <t>2025.09.26 10:56:00</t>
  </si>
  <si>
    <t>HNG-2025-5842</t>
  </si>
  <si>
    <t>Benczi Mihály</t>
  </si>
  <si>
    <t>2025.09.16 08:23:00</t>
  </si>
  <si>
    <t>Kisrutin csomag</t>
  </si>
  <si>
    <t>HNG-2025-5879</t>
  </si>
  <si>
    <t>Kovács Gábor</t>
  </si>
  <si>
    <t>039730491</t>
  </si>
  <si>
    <t>2025.09.18 10:24:00</t>
  </si>
  <si>
    <t>HNG-2025-5877</t>
  </si>
  <si>
    <t>Lillin Valentin</t>
  </si>
  <si>
    <t>2025.09.18 09:53:00</t>
  </si>
  <si>
    <t>Mellkasröntgen (Auchan)</t>
  </si>
  <si>
    <t>HNG-2025-5888</t>
  </si>
  <si>
    <t>Brassói Antal</t>
  </si>
  <si>
    <t>041738562</t>
  </si>
  <si>
    <t>2025.09.18 15:00:00</t>
  </si>
  <si>
    <t>HNG-2025-5851</t>
  </si>
  <si>
    <t>Gligor Zoltán Krisztián</t>
  </si>
  <si>
    <t>2025.09.16 11:44:00</t>
  </si>
  <si>
    <t>HNG-2025-5971</t>
  </si>
  <si>
    <t>Kakuk Anita</t>
  </si>
  <si>
    <t>081854778</t>
  </si>
  <si>
    <t>2025.09.24 13:39:00</t>
  </si>
  <si>
    <t>HNG-2025-5939</t>
  </si>
  <si>
    <t>Ágoston István Marcell</t>
  </si>
  <si>
    <t>2025.09.22 14:26:00</t>
  </si>
  <si>
    <t>HNG-2025-5919</t>
  </si>
  <si>
    <t>Murvai Gabriella</t>
  </si>
  <si>
    <t>087203277</t>
  </si>
  <si>
    <t>2025.09.22 07:52:00</t>
  </si>
  <si>
    <t>HNG-2025-5511</t>
  </si>
  <si>
    <t>Hargitai Adrián</t>
  </si>
  <si>
    <t>2025.09.02 10:07:00</t>
  </si>
  <si>
    <t>HNG-2025-5633</t>
  </si>
  <si>
    <t>Kispap Gábor</t>
  </si>
  <si>
    <t>023453148</t>
  </si>
  <si>
    <t>2025.09.08 09:32:00</t>
  </si>
  <si>
    <t>HNG-2025-5687</t>
  </si>
  <si>
    <t>Katona Kálmán</t>
  </si>
  <si>
    <t>2025.09.09 14:43:00</t>
  </si>
  <si>
    <t>HNG-2025-5715</t>
  </si>
  <si>
    <t>Feke Virdzsinia</t>
  </si>
  <si>
    <t>2025.09.10 12:37:00</t>
  </si>
  <si>
    <t>HNG-2025-5662</t>
  </si>
  <si>
    <t>Károlyi Adrienn</t>
  </si>
  <si>
    <t>086176248</t>
  </si>
  <si>
    <t>2025.09.08 15:05:00</t>
  </si>
  <si>
    <t>HNG-2025-5663</t>
  </si>
  <si>
    <t>Shumeiko Olha</t>
  </si>
  <si>
    <t>2025.09.08 15:20:00</t>
  </si>
  <si>
    <t>HNG-2025-6013</t>
  </si>
  <si>
    <t>Végh Levente</t>
  </si>
  <si>
    <t>2025.09.26 11:04:00</t>
  </si>
  <si>
    <t>HNG-2025-5991</t>
  </si>
  <si>
    <t>Nagy Attila</t>
  </si>
  <si>
    <t>037157405</t>
  </si>
  <si>
    <t>2025.09.25 13:45:00</t>
  </si>
  <si>
    <t>JASZ-2025-275</t>
  </si>
  <si>
    <t>Domokos Zoltán</t>
  </si>
  <si>
    <t>041292824</t>
  </si>
  <si>
    <t>HNG-2025-5713</t>
  </si>
  <si>
    <t>Sisa Csaba Gábor</t>
  </si>
  <si>
    <t>014348895</t>
  </si>
  <si>
    <t>2025.09.10 11:44:00</t>
  </si>
  <si>
    <t>Kardiológiai szakorvosi konzultáció nyugalmi EKG-val, szívultrahanggal és terheléses EKG-val</t>
  </si>
  <si>
    <t>HNG-2025-5497</t>
  </si>
  <si>
    <t>Dankó László</t>
  </si>
  <si>
    <t>031748881</t>
  </si>
  <si>
    <t>2025.09.01 15:51:00</t>
  </si>
  <si>
    <t>JASZ-2025-186</t>
  </si>
  <si>
    <t>Schuster Norbert Dr.</t>
  </si>
  <si>
    <t>041376696</t>
  </si>
  <si>
    <t>2025.09.01 16:38:00</t>
  </si>
  <si>
    <t>Bőrgyógyászat - Melanómaszűrés</t>
  </si>
  <si>
    <t>HNG-2025-5710</t>
  </si>
  <si>
    <t>Katona Ágnes</t>
  </si>
  <si>
    <t>065329492</t>
  </si>
  <si>
    <t>2025.09.10 10:49:00</t>
  </si>
  <si>
    <t>HNG-2025-5831</t>
  </si>
  <si>
    <t>2025.09.15 14:12:00</t>
  </si>
  <si>
    <t>Kardiológiai szakorvosi konzultáció nyugalmi EKG-val</t>
  </si>
  <si>
    <t>HMM - Inzulinrezisztencia laborcsomag</t>
  </si>
  <si>
    <t>Pajzsmirigy bővített csomag (TSH,T3,T4, ANTI-TPO)</t>
  </si>
  <si>
    <t>HNG-2025-5757</t>
  </si>
  <si>
    <t>Ferencziné Lakatos Dóra</t>
  </si>
  <si>
    <t>086340117</t>
  </si>
  <si>
    <t>2025.09.12 09:54:00</t>
  </si>
  <si>
    <t>Nőgyógyászati konzultáció, leletmegebszélés</t>
  </si>
  <si>
    <t>HNG-2025-5616</t>
  </si>
  <si>
    <t>Ugocsáné Értekes Anita</t>
  </si>
  <si>
    <t>081556764</t>
  </si>
  <si>
    <t>2025.09.05 10:41:00</t>
  </si>
  <si>
    <t>HNG-2025-5723</t>
  </si>
  <si>
    <t>Gulyás Gréta</t>
  </si>
  <si>
    <t>2025.09.10 14:57:00</t>
  </si>
  <si>
    <t>Jogosítvány(hatósági ár)</t>
  </si>
  <si>
    <t>HNG-2025-5714</t>
  </si>
  <si>
    <t>Schultz-Czeglédi Fanni</t>
  </si>
  <si>
    <t>092933112</t>
  </si>
  <si>
    <t>2025.09.10 12:22:00</t>
  </si>
  <si>
    <t>HNG-2025-5658</t>
  </si>
  <si>
    <t>Dobos Gyula Gábor</t>
  </si>
  <si>
    <t>2025.09.08 14:45:00</t>
  </si>
  <si>
    <t>HNG-2025-5970</t>
  </si>
  <si>
    <t>Bencsik Diána</t>
  </si>
  <si>
    <t>092828296</t>
  </si>
  <si>
    <t>2025.09.24 13:12:00</t>
  </si>
  <si>
    <t>HNG-2025-5764</t>
  </si>
  <si>
    <t>Kovács Andrea</t>
  </si>
  <si>
    <t>090648230</t>
  </si>
  <si>
    <t>2025.09.12 10:32:00</t>
  </si>
  <si>
    <t>HMM Basic extra menedzserszűrés</t>
  </si>
  <si>
    <t>JASZ-2025-191</t>
  </si>
  <si>
    <t>Mészáros Ádám</t>
  </si>
  <si>
    <t>039373984</t>
  </si>
  <si>
    <t>2025.09.03 09:45:00</t>
  </si>
  <si>
    <t>HMM Preventív + menedzserszűrés</t>
  </si>
  <si>
    <t>HNG-2025-5472</t>
  </si>
  <si>
    <t>2025.09.01 09:57:00</t>
  </si>
  <si>
    <t>HMM Preventív Extra menedzserszűrés</t>
  </si>
  <si>
    <t>HNG-2025-5529</t>
  </si>
  <si>
    <t>2025.09.02 15:07:00</t>
  </si>
  <si>
    <t>JASZ-2025-189</t>
  </si>
  <si>
    <t>2025.09.02 15:08:00</t>
  </si>
  <si>
    <t>JASZ-2025-194</t>
  </si>
  <si>
    <t>2025.09.03 12:10:00</t>
  </si>
  <si>
    <t>HNG-2025-5570</t>
  </si>
  <si>
    <t>2025.09.03 12:11:00</t>
  </si>
  <si>
    <t>JASZ-2025-239</t>
  </si>
  <si>
    <t>Dr. Buzási Vendel</t>
  </si>
  <si>
    <t>045169960</t>
  </si>
  <si>
    <t>2025.09.22 11:00:00</t>
  </si>
  <si>
    <t>HNG-2025-6027</t>
  </si>
  <si>
    <t>Szalma Ferenc</t>
  </si>
  <si>
    <t>032111963</t>
  </si>
  <si>
    <t>2025.09.29 10:05:00</t>
  </si>
  <si>
    <t>HNG-2025-5712</t>
  </si>
  <si>
    <t>Bajkai Gábor</t>
  </si>
  <si>
    <t>037350187</t>
  </si>
  <si>
    <t>2025.09.10 11:39:00</t>
  </si>
  <si>
    <t>HMM Silver menedzserszűrés</t>
  </si>
  <si>
    <t>JASZ-2025-195</t>
  </si>
  <si>
    <t>Vanczák Csilla</t>
  </si>
  <si>
    <t>079252494</t>
  </si>
  <si>
    <t>JASZ-2025-184</t>
  </si>
  <si>
    <t>Neszmélyi Emil Balázs Dr.</t>
  </si>
  <si>
    <t>033594017</t>
  </si>
  <si>
    <t>2025.09.01 13:26:00</t>
  </si>
  <si>
    <t>HMM Gold menedzserszűrés</t>
  </si>
  <si>
    <t>HNG-2025-5571</t>
  </si>
  <si>
    <t>Bohata Krisztina</t>
  </si>
  <si>
    <t>083104581</t>
  </si>
  <si>
    <t>2025.09.03 12:28:00</t>
  </si>
  <si>
    <t>HNG-2025-5967</t>
  </si>
  <si>
    <t>Németh András</t>
  </si>
  <si>
    <t>032981623</t>
  </si>
  <si>
    <t>2025.09.24 11:33:00</t>
  </si>
  <si>
    <t>JASZ-2025-260</t>
  </si>
  <si>
    <t>Smoling László</t>
  </si>
  <si>
    <t>025856923</t>
  </si>
  <si>
    <t>2025.09.24 12:24:00</t>
  </si>
  <si>
    <t>HMM Diamond menedzserszűrés</t>
  </si>
  <si>
    <t>JASZ-2025-228</t>
  </si>
  <si>
    <t>2025.09.19 13:56:00</t>
  </si>
  <si>
    <t>HNG-2025-5485</t>
  </si>
  <si>
    <t>Gaál Zoltán</t>
  </si>
  <si>
    <t>037981288</t>
  </si>
  <si>
    <t>2025.09.01 12:51:00</t>
  </si>
  <si>
    <t>HNG-2025-5492</t>
  </si>
  <si>
    <t>Leveleki Tünde</t>
  </si>
  <si>
    <t>073844918</t>
  </si>
  <si>
    <t>2025.09.01 14:32:00</t>
  </si>
  <si>
    <t>HNG-2025-5495</t>
  </si>
  <si>
    <t>Kovács János</t>
  </si>
  <si>
    <t>026812737</t>
  </si>
  <si>
    <t>2025.09.01 14:45:00</t>
  </si>
  <si>
    <t>JASZ-2025-202</t>
  </si>
  <si>
    <t>Törköly Piroska Anna</t>
  </si>
  <si>
    <t>085227048</t>
  </si>
  <si>
    <t>2025.09.05 14:38:00</t>
  </si>
  <si>
    <t>JASZ-2025-203</t>
  </si>
  <si>
    <t>2025.09.05 14:39:00</t>
  </si>
  <si>
    <t>JASZ-2025-204</t>
  </si>
  <si>
    <t>2025.09.05 14:40:00</t>
  </si>
  <si>
    <t>HNG-2025-6040</t>
  </si>
  <si>
    <t>Fekete Balázs</t>
  </si>
  <si>
    <t>036730382</t>
  </si>
  <si>
    <t>2025.09.29 14:09:00</t>
  </si>
  <si>
    <t>Laborlelet értékelés</t>
  </si>
  <si>
    <t>HNG-2025-5631</t>
  </si>
  <si>
    <t>Kobza Györgyné</t>
  </si>
  <si>
    <t>081163249</t>
  </si>
  <si>
    <t>2025.09.08 08:57:00</t>
  </si>
  <si>
    <t>HE-4 + CA125 és ROMA index</t>
  </si>
  <si>
    <t>Balance - Tumormarker csomag férfiak részére</t>
  </si>
  <si>
    <t>MAESZ-2025-2787</t>
  </si>
  <si>
    <t>Horváth Domonkos</t>
  </si>
  <si>
    <t>2025.09.28 11:03:00</t>
  </si>
  <si>
    <t>MÁESZ - 25 - Spektrumlab - Inhalatív allergiapanel, penész és por - 9 allergén</t>
  </si>
  <si>
    <t>MAESZ-2025-2654</t>
  </si>
  <si>
    <t>Dr. Szatmári Magdolna</t>
  </si>
  <si>
    <t>086500535</t>
  </si>
  <si>
    <t>MÁESZ - 25 - Spektrumlab - Inhalatív allergiapanel, pollenek - 19 allergén</t>
  </si>
  <si>
    <t>MAESZ-2025-2602</t>
  </si>
  <si>
    <t>Ferenczi Gabriella</t>
  </si>
  <si>
    <t>071745864</t>
  </si>
  <si>
    <t>2025.09.12 11:30:00</t>
  </si>
  <si>
    <t>MAESZ-2025-2569</t>
  </si>
  <si>
    <t>Szöllősi Ildikó</t>
  </si>
  <si>
    <t>091390640</t>
  </si>
  <si>
    <t>2025.09.08 09:24:00</t>
  </si>
  <si>
    <t>MÁESZ - 25 - Spektrumlab - Inhalatív teljes (37 komponens)</t>
  </si>
  <si>
    <t>MAESZ-2025-2834</t>
  </si>
  <si>
    <t>Gyetkó Katinka</t>
  </si>
  <si>
    <t>2025.09.29 14:28:00</t>
  </si>
  <si>
    <t>MÁESZ - 25 - Spektrumlab - Táplálékintolerancia - 54 tápanyag</t>
  </si>
  <si>
    <t>MAESZ-2025-2821</t>
  </si>
  <si>
    <t>Kárpáti Zoltán</t>
  </si>
  <si>
    <t>032514601</t>
  </si>
  <si>
    <t>2025.09.29 12:58:00</t>
  </si>
  <si>
    <t>HNG-2025-5636</t>
  </si>
  <si>
    <t>Novák Eszter</t>
  </si>
  <si>
    <t>2025.09.08 10:02:00</t>
  </si>
  <si>
    <t>Egészségügyi szűrővizsgálat</t>
  </si>
  <si>
    <t>HNG-2025-5617</t>
  </si>
  <si>
    <t>Kupecz Richárd</t>
  </si>
  <si>
    <t>033527787</t>
  </si>
  <si>
    <t>2025.09.05 10:48:00</t>
  </si>
  <si>
    <t>HNG-2025-5720</t>
  </si>
  <si>
    <t>Medgyesi László</t>
  </si>
  <si>
    <t>024621104</t>
  </si>
  <si>
    <t>2025.09.10 14:17:00</t>
  </si>
  <si>
    <t>HNG-2025-5551</t>
  </si>
  <si>
    <t>Dékány Noémi Krisztina</t>
  </si>
  <si>
    <t>080276223</t>
  </si>
  <si>
    <t>2025.09.03 09:10:00</t>
  </si>
  <si>
    <t>HNG-2025-5552</t>
  </si>
  <si>
    <t>2025.09.03 09:11:00</t>
  </si>
  <si>
    <t>Dihidro-tesztoszteron</t>
  </si>
  <si>
    <t>Anti-tireoglobulin (anti-TG)</t>
  </si>
  <si>
    <t>MAESZ-2025-2668</t>
  </si>
  <si>
    <t>András Réka</t>
  </si>
  <si>
    <t>2025.09.20 11:21:00</t>
  </si>
  <si>
    <t>Anti-streptolizin O (ASO)</t>
  </si>
  <si>
    <t>synlab 5 pontos cukor+inzulin terhelés</t>
  </si>
  <si>
    <t>HNG-2025-6057</t>
  </si>
  <si>
    <t>Dr. Upor Veronika Sára</t>
  </si>
  <si>
    <t>Inhalatív allergiapanel - teljes, 37 allergén</t>
  </si>
  <si>
    <t>ALDI-2025-38</t>
  </si>
  <si>
    <t>Szecsődi Szimonetta</t>
  </si>
  <si>
    <t>2025.09.30 11:12:00</t>
  </si>
  <si>
    <t>Aldi -TSH</t>
  </si>
  <si>
    <t>ALDI-2025-43</t>
  </si>
  <si>
    <t>Varga Dávid</t>
  </si>
  <si>
    <t>041935668</t>
  </si>
  <si>
    <t>2025.09.30 12:42:00</t>
  </si>
  <si>
    <t>ALDI-2025-45</t>
  </si>
  <si>
    <t>Bertalan Andrea Tünde</t>
  </si>
  <si>
    <t>087722910</t>
  </si>
  <si>
    <t>2025.09.30 12:52:00</t>
  </si>
  <si>
    <t>ALDI-2025-46</t>
  </si>
  <si>
    <t>Kecskés Enikő</t>
  </si>
  <si>
    <t>093165545</t>
  </si>
  <si>
    <t>2025.09.30 12:57:00</t>
  </si>
  <si>
    <t>ALDI-2025-48</t>
  </si>
  <si>
    <t>Hovánszky Katalin</t>
  </si>
  <si>
    <t>087131842</t>
  </si>
  <si>
    <t>2025.09.30 13:41:00</t>
  </si>
  <si>
    <t>ALDI-2025-28</t>
  </si>
  <si>
    <t>Zubály Brigitta</t>
  </si>
  <si>
    <t>2025.09.30 08:39:00</t>
  </si>
  <si>
    <t>ALDI-2025-31</t>
  </si>
  <si>
    <t>Kiss-Stefanon Anna</t>
  </si>
  <si>
    <t>088594660</t>
  </si>
  <si>
    <t>2025.09.30 09:48:00</t>
  </si>
  <si>
    <t>ALDI-2025-32</t>
  </si>
  <si>
    <t>Tyukodi-Schamberger Krisztina</t>
  </si>
  <si>
    <t>090306477</t>
  </si>
  <si>
    <t>2025.09.30 09:58:00</t>
  </si>
  <si>
    <t>ALDI-2025-23</t>
  </si>
  <si>
    <t>Nagy Anasztázia</t>
  </si>
  <si>
    <t>2025.09.30 07:51:00</t>
  </si>
  <si>
    <t>HNG-2025-6051</t>
  </si>
  <si>
    <t>Dancsa Adrienn</t>
  </si>
  <si>
    <t>089085222</t>
  </si>
  <si>
    <t>2025.09.30 08:11:00</t>
  </si>
  <si>
    <t>ALDI-2025-20</t>
  </si>
  <si>
    <t>Sütő Eszter</t>
  </si>
  <si>
    <t>090714388</t>
  </si>
  <si>
    <t>2025.09.30 07:45:00</t>
  </si>
  <si>
    <t>HNG-2025-6049</t>
  </si>
  <si>
    <t>Bodeanu Kovács Andrea</t>
  </si>
  <si>
    <t>2025.09.30 07:54:00</t>
  </si>
  <si>
    <t>Aldi - Pajzsmirigy Bővített</t>
  </si>
  <si>
    <t>ALDI-2025-8</t>
  </si>
  <si>
    <t>Borbás Dorián</t>
  </si>
  <si>
    <t>2025.09.30 07:03:00</t>
  </si>
  <si>
    <t>Aldi - Gondoskodás (törődés+pajzsmirigy) férfi/női</t>
  </si>
  <si>
    <t>Borrelia burgdorferi at. (IgG,IgM)</t>
  </si>
  <si>
    <t>HNG-2025-5620</t>
  </si>
  <si>
    <t>Balázs Etelka</t>
  </si>
  <si>
    <t>070927306</t>
  </si>
  <si>
    <t>2025.09.05 11:55:00</t>
  </si>
  <si>
    <t>Trombocita citrátos vérből</t>
  </si>
  <si>
    <t>HNG-2025-5606</t>
  </si>
  <si>
    <t>Apáthi Orsolya</t>
  </si>
  <si>
    <t>2025.09.05 08:12:00</t>
  </si>
  <si>
    <t>Széklet bakteriológiai tenyésztése (Salmonella, Shigella, Yersinia, Campylobacter, E. coli)</t>
  </si>
  <si>
    <t>Cink (Zn)</t>
  </si>
  <si>
    <t>ALDI - Kálium</t>
  </si>
  <si>
    <t>MAESZ-2025-2520</t>
  </si>
  <si>
    <t>Soós Enikő</t>
  </si>
  <si>
    <t>2025.09.03 09:31:00</t>
  </si>
  <si>
    <t>Rovar allergiapanel - 4 allergén</t>
  </si>
  <si>
    <t>HNG-2025-5569</t>
  </si>
  <si>
    <t>Albertné Lackner Gertrúd Dr.</t>
  </si>
  <si>
    <t>078040153</t>
  </si>
  <si>
    <t>2025.09.03 11:57:00</t>
  </si>
  <si>
    <t>HNG-2025-5505</t>
  </si>
  <si>
    <t>Paszkosz-Jávorszki Olga Dr.</t>
  </si>
  <si>
    <t>2025.09.02 08:54:00</t>
  </si>
  <si>
    <t>HNG-2025-5709</t>
  </si>
  <si>
    <t>Liszt Ágota Éva Dr.</t>
  </si>
  <si>
    <t>082815264</t>
  </si>
  <si>
    <t>2025.09.10 10:19:00</t>
  </si>
  <si>
    <t>HNG-2025-5973</t>
  </si>
  <si>
    <t>Budavári Angelika</t>
  </si>
  <si>
    <t>082537775</t>
  </si>
  <si>
    <t>2025.09.24 14:11:00</t>
  </si>
  <si>
    <t>HNG-2025-6044</t>
  </si>
  <si>
    <t>Hollandi Erzsébet Dr.</t>
  </si>
  <si>
    <t>083452222</t>
  </si>
  <si>
    <t>2025.09.29 15:15:00</t>
  </si>
  <si>
    <t>MAESZ-2025-2780</t>
  </si>
  <si>
    <t>Sándor Zsófia</t>
  </si>
  <si>
    <t>089422458</t>
  </si>
  <si>
    <t>2025.09.27 15:28:00</t>
  </si>
  <si>
    <t>HNG-2025-6065</t>
  </si>
  <si>
    <t>Petró Beáta</t>
  </si>
  <si>
    <t>084668413</t>
  </si>
  <si>
    <t>2025.09.30 13:57:00</t>
  </si>
  <si>
    <t>Totál tesztoszteron</t>
  </si>
  <si>
    <t>HNG-2025-5927</t>
  </si>
  <si>
    <t>Kovács Eszter</t>
  </si>
  <si>
    <t>079689218</t>
  </si>
  <si>
    <t>2025.09.22 10:31:00</t>
  </si>
  <si>
    <t>D vitamin</t>
  </si>
  <si>
    <t>Inhalatív allergiapanel, penész és por - 9 allergén</t>
  </si>
  <si>
    <t>MAESZ-2025-2745</t>
  </si>
  <si>
    <t>Lőrinczy György</t>
  </si>
  <si>
    <t>024339896</t>
  </si>
  <si>
    <t>2025.09.25 13:12:00</t>
  </si>
  <si>
    <t>MÁESZ - 25 - Complex - Nagylabor Férfi</t>
  </si>
  <si>
    <t>MAESZ-2025-2783</t>
  </si>
  <si>
    <t>Dancs József</t>
  </si>
  <si>
    <t>017754990</t>
  </si>
  <si>
    <t>2025.09.28 10:15:00</t>
  </si>
  <si>
    <t>MAESZ-2025-2851</t>
  </si>
  <si>
    <t>Kasza Zsolt</t>
  </si>
  <si>
    <t>040732309</t>
  </si>
  <si>
    <t>2025.09.30 15:18:00</t>
  </si>
  <si>
    <t>MAESZ-2025-2844</t>
  </si>
  <si>
    <t>Orbán Dávid</t>
  </si>
  <si>
    <t>043254097</t>
  </si>
  <si>
    <t>2025.09.30 09:49:00</t>
  </si>
  <si>
    <t>MAESZ-2025-2675</t>
  </si>
  <si>
    <t>Stekovics Mihály</t>
  </si>
  <si>
    <t>037409759</t>
  </si>
  <si>
    <t>2025.09.22 08:08:00</t>
  </si>
  <si>
    <t>MAESZ-2025-2658</t>
  </si>
  <si>
    <t>Józsa József</t>
  </si>
  <si>
    <t>031953766</t>
  </si>
  <si>
    <t>2025.09.19 15:35:00</t>
  </si>
  <si>
    <t>MAESZ-2025-2723</t>
  </si>
  <si>
    <t>Lados Demeter</t>
  </si>
  <si>
    <t>040985550</t>
  </si>
  <si>
    <t>2025.09.25 08:56:00</t>
  </si>
  <si>
    <t>MAESZ-2025-2717</t>
  </si>
  <si>
    <t>Kovács Gyula Zsolt</t>
  </si>
  <si>
    <t>031091785</t>
  </si>
  <si>
    <t>2025.09.24 08:23:00</t>
  </si>
  <si>
    <t>MAESZ-2025-2623</t>
  </si>
  <si>
    <t>Barassó Zoltán</t>
  </si>
  <si>
    <t>041445941</t>
  </si>
  <si>
    <t>2025.09.14 13:14:00</t>
  </si>
  <si>
    <t>MAESZ-2025-2564</t>
  </si>
  <si>
    <t>Bak Dávid</t>
  </si>
  <si>
    <t>2025.09.05 11:31:00</t>
  </si>
  <si>
    <t>HNG-2025-5524</t>
  </si>
  <si>
    <t>Rajkai Gábor</t>
  </si>
  <si>
    <t>2025.09.02 13:44:00</t>
  </si>
  <si>
    <t>MAESZ-2025-2514</t>
  </si>
  <si>
    <t>Németh László</t>
  </si>
  <si>
    <t>030574304</t>
  </si>
  <si>
    <t>2025.09.03 08:22:00</t>
  </si>
  <si>
    <t>MAESZ-2025-2525</t>
  </si>
  <si>
    <t>Czimbalekné Németh Mária</t>
  </si>
  <si>
    <t>077480150</t>
  </si>
  <si>
    <t>2025.09.03 10:17:00</t>
  </si>
  <si>
    <t>MÁESZ - 25 - Complex - Nagylabor Női</t>
  </si>
  <si>
    <t>MAESZ-2025-2511</t>
  </si>
  <si>
    <t>Bicsérdi Tőtős Gréta</t>
  </si>
  <si>
    <t>2025.09.02 15:09:00</t>
  </si>
  <si>
    <t>MAESZ-2025-2506</t>
  </si>
  <si>
    <t>Szi Réka</t>
  </si>
  <si>
    <t>2025.09.02 14:46:00</t>
  </si>
  <si>
    <t>HNG-2025-5518</t>
  </si>
  <si>
    <t>Nyírő Tiborné</t>
  </si>
  <si>
    <t>072389807</t>
  </si>
  <si>
    <t>2025.09.02 11:37:00</t>
  </si>
  <si>
    <t>HNG-2025-5516</t>
  </si>
  <si>
    <t>Nyírő Judit</t>
  </si>
  <si>
    <t>085632075</t>
  </si>
  <si>
    <t>2025.09.02 11:20:00</t>
  </si>
  <si>
    <t>MAESZ-2025-2614</t>
  </si>
  <si>
    <t>Kató Mária</t>
  </si>
  <si>
    <t>091298278</t>
  </si>
  <si>
    <t>2025.09.13 13:57:00</t>
  </si>
  <si>
    <t>MAESZ-2025-2615</t>
  </si>
  <si>
    <t>Kovács-Kollár Eszter</t>
  </si>
  <si>
    <t>090343502</t>
  </si>
  <si>
    <t>2025.09.13 14:24:00</t>
  </si>
  <si>
    <t>MAESZ-2025-2617</t>
  </si>
  <si>
    <t>Scheller Viktória</t>
  </si>
  <si>
    <t>086952020</t>
  </si>
  <si>
    <t>2025.09.13 15:17:00</t>
  </si>
  <si>
    <t>MAESZ-2025-2645</t>
  </si>
  <si>
    <t>Oláh Szilvia</t>
  </si>
  <si>
    <t>081787324</t>
  </si>
  <si>
    <t>2025.09.19 11:19:00</t>
  </si>
  <si>
    <t>MAESZ-2025-2651</t>
  </si>
  <si>
    <t>Fekete Kitti</t>
  </si>
  <si>
    <t>087324112</t>
  </si>
  <si>
    <t>2025.09.19 12:59:00</t>
  </si>
  <si>
    <t>MAESZ-2025-2683</t>
  </si>
  <si>
    <t>Pásztor Andrea</t>
  </si>
  <si>
    <t>084400192</t>
  </si>
  <si>
    <t>2025.09.22 09:17:00</t>
  </si>
  <si>
    <t>MAESZ-2025-2847</t>
  </si>
  <si>
    <t>Fehér-Pálla Dorina Anna</t>
  </si>
  <si>
    <t>2025.09.30 10:20:00</t>
  </si>
  <si>
    <t>MAESZ-2025-2840</t>
  </si>
  <si>
    <t>Vassné Béres Mónika</t>
  </si>
  <si>
    <t>080733775</t>
  </si>
  <si>
    <t>2025.09.30 09:06:00</t>
  </si>
  <si>
    <t>MAESZ-2025-2784</t>
  </si>
  <si>
    <t>Dr. Erdélyi Leonóra</t>
  </si>
  <si>
    <t>075459725</t>
  </si>
  <si>
    <t>2025.09.28 10:26:00</t>
  </si>
  <si>
    <t>MAESZ-2025-2777</t>
  </si>
  <si>
    <t>Gáspár Szilvia</t>
  </si>
  <si>
    <t>089454334</t>
  </si>
  <si>
    <t>2025.09.27 14:05:00</t>
  </si>
  <si>
    <t>JASZ-2025-272</t>
  </si>
  <si>
    <t>Csáki Szilárd</t>
  </si>
  <si>
    <t>035605766</t>
  </si>
  <si>
    <t>2025.09.27 12:57:00</t>
  </si>
  <si>
    <t>MÁESZ - 25 - Dual Extended - Nagylabor + tumorpanelek Férfi</t>
  </si>
  <si>
    <t>MAESZ-2025-2747</t>
  </si>
  <si>
    <t>Komáromi Csaba</t>
  </si>
  <si>
    <t>041489893</t>
  </si>
  <si>
    <t>2025.09.25 13:32:00</t>
  </si>
  <si>
    <t>MAESZ-2025-2748</t>
  </si>
  <si>
    <t>Balla Gábor</t>
  </si>
  <si>
    <t>043125438</t>
  </si>
  <si>
    <t>2025.09.25 13:35:00</t>
  </si>
  <si>
    <t>MAESZ-2025-2752</t>
  </si>
  <si>
    <t>Vitos Albert</t>
  </si>
  <si>
    <t>2025.09.25 14:54:00</t>
  </si>
  <si>
    <t>MAESZ-2025-2753</t>
  </si>
  <si>
    <t>Ronyák László</t>
  </si>
  <si>
    <t>039294856</t>
  </si>
  <si>
    <t>2025.09.25 15:54:00</t>
  </si>
  <si>
    <t>MAESZ-2025-2732</t>
  </si>
  <si>
    <t>Kónya Imre</t>
  </si>
  <si>
    <t>023596595</t>
  </si>
  <si>
    <t>2025.09.25 10:53:00</t>
  </si>
  <si>
    <t>MAESZ-2025-2836</t>
  </si>
  <si>
    <t>Kobra Gergely</t>
  </si>
  <si>
    <t>042657110</t>
  </si>
  <si>
    <t>2025.09.29 15:40:00</t>
  </si>
  <si>
    <t>MAESZ-2025-2835</t>
  </si>
  <si>
    <t>Gyetkó István</t>
  </si>
  <si>
    <t>2025.09.29 14:31:00</t>
  </si>
  <si>
    <t>MAESZ-2025-2690</t>
  </si>
  <si>
    <t>Zsidó Tamás Béla</t>
  </si>
  <si>
    <t>2025.09.22 10:37:00</t>
  </si>
  <si>
    <t>MAESZ-2025-2671</t>
  </si>
  <si>
    <t>Adamek Zsolt</t>
  </si>
  <si>
    <t>2025.09.20 13:50:00</t>
  </si>
  <si>
    <t>MAESZ-2025-2680</t>
  </si>
  <si>
    <t>Rádi György</t>
  </si>
  <si>
    <t>041030749</t>
  </si>
  <si>
    <t>2025.09.22 08:42:00</t>
  </si>
  <si>
    <t>MAESZ-2025-2702</t>
  </si>
  <si>
    <t>Hegedűs Gábor</t>
  </si>
  <si>
    <t>028125099</t>
  </si>
  <si>
    <t>2025.09.23 08:59:00</t>
  </si>
  <si>
    <t>MAESZ-2025-2705</t>
  </si>
  <si>
    <t>Seres Zsolt</t>
  </si>
  <si>
    <t>031744182</t>
  </si>
  <si>
    <t>2025.09.23 10:12:00</t>
  </si>
  <si>
    <t>MAESZ-2025-2707</t>
  </si>
  <si>
    <t>Berzéki Balázs</t>
  </si>
  <si>
    <t>043339536</t>
  </si>
  <si>
    <t>2025.09.23 13:03:00</t>
  </si>
  <si>
    <t>MAESZ-2025-2706</t>
  </si>
  <si>
    <t>Herczeg Gábor</t>
  </si>
  <si>
    <t>040106409</t>
  </si>
  <si>
    <t>2025.09.23 11:39:00</t>
  </si>
  <si>
    <t>MAESZ-2025-2716</t>
  </si>
  <si>
    <t>Földes Attila</t>
  </si>
  <si>
    <t>040631927</t>
  </si>
  <si>
    <t>2025.09.23 15:22:00</t>
  </si>
  <si>
    <t>MAESZ-2025-2625</t>
  </si>
  <si>
    <t>Nagy Tibor</t>
  </si>
  <si>
    <t>036433179</t>
  </si>
  <si>
    <t>2025.09.14 13:38:00</t>
  </si>
  <si>
    <t>MAESZ-2025-2581</t>
  </si>
  <si>
    <t>Solymosi Tamás</t>
  </si>
  <si>
    <t>035709163</t>
  </si>
  <si>
    <t>2025.09.08 10:59:00</t>
  </si>
  <si>
    <t>MAESZ-2025-2577</t>
  </si>
  <si>
    <t>Reményi László</t>
  </si>
  <si>
    <t>031799807</t>
  </si>
  <si>
    <t>2025.09.08 10:01:00</t>
  </si>
  <si>
    <t>MAESZ-2025-2575</t>
  </si>
  <si>
    <t>Wieszt Márton</t>
  </si>
  <si>
    <t>2025.09.08 09:58:00</t>
  </si>
  <si>
    <t>MAESZ-2025-2568</t>
  </si>
  <si>
    <t>Lévai Péter</t>
  </si>
  <si>
    <t>2025.09.08 09:00:00</t>
  </si>
  <si>
    <t>MAESZ-2025-2491</t>
  </si>
  <si>
    <t>Szi-Márton Árpád</t>
  </si>
  <si>
    <t>029755127</t>
  </si>
  <si>
    <t>2025.09.02 10:42:00</t>
  </si>
  <si>
    <t>MAESZ-2025-2492</t>
  </si>
  <si>
    <t>Borda József</t>
  </si>
  <si>
    <t>023868443</t>
  </si>
  <si>
    <t>MAESZ-2025-2490</t>
  </si>
  <si>
    <t>Marton Zalán</t>
  </si>
  <si>
    <t>038232002</t>
  </si>
  <si>
    <t>2025.09.02 10:09:00</t>
  </si>
  <si>
    <t>MAESZ-2025-2489</t>
  </si>
  <si>
    <t>Bíró Zoltán</t>
  </si>
  <si>
    <t>039750033</t>
  </si>
  <si>
    <t>2025.09.02 10:00:00</t>
  </si>
  <si>
    <t>MAESZ-2025-2496</t>
  </si>
  <si>
    <t>Kéri Andor</t>
  </si>
  <si>
    <t>027857256</t>
  </si>
  <si>
    <t>2025.09.02 12:59:00</t>
  </si>
  <si>
    <t>HNG-2025-5526</t>
  </si>
  <si>
    <t>Nagy Tamás Levente</t>
  </si>
  <si>
    <t>2025.09.02 14:20:00</t>
  </si>
  <si>
    <t>HNG-2025-5549</t>
  </si>
  <si>
    <t>Györgyfalvay György</t>
  </si>
  <si>
    <t>027101858</t>
  </si>
  <si>
    <t>2025.09.03 08:10:00</t>
  </si>
  <si>
    <t>MAESZ-2025-2542</t>
  </si>
  <si>
    <t>Prótár Richárd Krisztián</t>
  </si>
  <si>
    <t>036782941</t>
  </si>
  <si>
    <t>2025.09.03 14:05:00</t>
  </si>
  <si>
    <t>MAESZ-2025-2540</t>
  </si>
  <si>
    <t>Czémán Marianna</t>
  </si>
  <si>
    <t>082456526</t>
  </si>
  <si>
    <t>2025.09.03 13:55:00</t>
  </si>
  <si>
    <t>MÁESZ - 25 - Dual Extended - Nagylabor + tumorpanelek Női</t>
  </si>
  <si>
    <t>HNG-2025-5567</t>
  </si>
  <si>
    <t>Lénárt Anikó</t>
  </si>
  <si>
    <t>075006161</t>
  </si>
  <si>
    <t>2025.09.03 11:16:00</t>
  </si>
  <si>
    <t>MAESZ-2025-2526</t>
  </si>
  <si>
    <t>Horváth Szilvia</t>
  </si>
  <si>
    <t>087964226</t>
  </si>
  <si>
    <t>2025.09.03 10:24:00</t>
  </si>
  <si>
    <t>MAESZ-2025-2528</t>
  </si>
  <si>
    <t>Borsosné Csányi Éva</t>
  </si>
  <si>
    <t>076599899</t>
  </si>
  <si>
    <t>2025.09.03 11:03:00</t>
  </si>
  <si>
    <t>MAESZ-2025-2518</t>
  </si>
  <si>
    <t>Joó-Rigó Mónika</t>
  </si>
  <si>
    <t>081413960</t>
  </si>
  <si>
    <t>2025.09.03 09:04:00</t>
  </si>
  <si>
    <t>MAESZ-2025-2522</t>
  </si>
  <si>
    <t>Réder Anita Erzsébet</t>
  </si>
  <si>
    <t>085296286</t>
  </si>
  <si>
    <t>2025.09.03 09:47:00</t>
  </si>
  <si>
    <t>MAESZ-2025-2503</t>
  </si>
  <si>
    <t>Horváth Renáta</t>
  </si>
  <si>
    <t>085314065</t>
  </si>
  <si>
    <t>2025.09.02 14:10:00</t>
  </si>
  <si>
    <t>MAESZ-2025-2504</t>
  </si>
  <si>
    <t>Fehér Balázs</t>
  </si>
  <si>
    <t>039139234</t>
  </si>
  <si>
    <t>2025.09.02 14:16:00</t>
  </si>
  <si>
    <t>HNG-2025-5530</t>
  </si>
  <si>
    <t>Pintér Virág</t>
  </si>
  <si>
    <t>2025.09.02 15:30:00</t>
  </si>
  <si>
    <t>HNG-2025-5515</t>
  </si>
  <si>
    <t>Csapó Józsefne</t>
  </si>
  <si>
    <t>076702691</t>
  </si>
  <si>
    <t>2025.09.02 10:55:00</t>
  </si>
  <si>
    <t>MAESZ-2025-2481</t>
  </si>
  <si>
    <t>Bicsák ildikó</t>
  </si>
  <si>
    <t>077100306</t>
  </si>
  <si>
    <t>2025.09.02 08:46:00</t>
  </si>
  <si>
    <t>MAESZ-2025-2572</t>
  </si>
  <si>
    <t>Dropka Zsófia Eszter</t>
  </si>
  <si>
    <t>092320233</t>
  </si>
  <si>
    <t>2025.09.08 09:55:00</t>
  </si>
  <si>
    <t>MAESZ-2025-2561</t>
  </si>
  <si>
    <t>Balázs Zlatkoné</t>
  </si>
  <si>
    <t>081384277</t>
  </si>
  <si>
    <t>2025.09.05 10:01:00</t>
  </si>
  <si>
    <t>MAESZ-2025-2592</t>
  </si>
  <si>
    <t>Dr. Borbély Lászlóné</t>
  </si>
  <si>
    <t>062590574</t>
  </si>
  <si>
    <t>2025.09.12 08:26:00</t>
  </si>
  <si>
    <t>MAESZ-2025-2624</t>
  </si>
  <si>
    <t>Császár Brigitta</t>
  </si>
  <si>
    <t>085691681</t>
  </si>
  <si>
    <t>2025.09.14 13:36:00</t>
  </si>
  <si>
    <t>MAESZ-2025-2622</t>
  </si>
  <si>
    <t>Goletz-Deák Viktória</t>
  </si>
  <si>
    <t>085299816</t>
  </si>
  <si>
    <t>2025.09.14 10:22:00</t>
  </si>
  <si>
    <t>MAESZ-2025-2628</t>
  </si>
  <si>
    <t>Fekete Szilvia</t>
  </si>
  <si>
    <t>082386339</t>
  </si>
  <si>
    <t>2025.09.14 15:31:00</t>
  </si>
  <si>
    <t>MAESZ-2025-2827</t>
  </si>
  <si>
    <t>Dr. Pelle Krisztina</t>
  </si>
  <si>
    <t>083211016</t>
  </si>
  <si>
    <t>2025.09.29 13:55:00</t>
  </si>
  <si>
    <t>MAESZ-2025-2782</t>
  </si>
  <si>
    <t>Molnár Gáborné</t>
  </si>
  <si>
    <t>062046909</t>
  </si>
  <si>
    <t>2025.09.28 10:10:00</t>
  </si>
  <si>
    <t>MAESZ-2025-2802</t>
  </si>
  <si>
    <t>Ádám Andrea</t>
  </si>
  <si>
    <t>079044154</t>
  </si>
  <si>
    <t>2025.09.29 08:59:00</t>
  </si>
  <si>
    <t>MAESZ-2025-2731</t>
  </si>
  <si>
    <t>Juhászné Timár Ágnes</t>
  </si>
  <si>
    <t>088738561</t>
  </si>
  <si>
    <t>2025.09.25 10:41:00</t>
  </si>
  <si>
    <t>MAESZ-2025-2735</t>
  </si>
  <si>
    <t>Szegedi Erika</t>
  </si>
  <si>
    <t>083171165</t>
  </si>
  <si>
    <t>2025.09.25 11:16:00</t>
  </si>
  <si>
    <t>MAESZ-2025-2738</t>
  </si>
  <si>
    <t>Pilcz-Hosszú Zsófia</t>
  </si>
  <si>
    <t>086982139</t>
  </si>
  <si>
    <t>MAESZ-2025-2842</t>
  </si>
  <si>
    <t>Kiss Mirabella</t>
  </si>
  <si>
    <t>089952562</t>
  </si>
  <si>
    <t>2025.09.30 09:26:00</t>
  </si>
  <si>
    <t>MAESZ-2025-2843</t>
  </si>
  <si>
    <t>Antal Helga</t>
  </si>
  <si>
    <t>089085789</t>
  </si>
  <si>
    <t>2025.09.30 09:35:00</t>
  </si>
  <si>
    <t>MAESZ-2025-2839</t>
  </si>
  <si>
    <t>Firtl Titanilla Ildikó</t>
  </si>
  <si>
    <t>093654784</t>
  </si>
  <si>
    <t>2025.09.30 08:58:00</t>
  </si>
  <si>
    <t>MAESZ-2025-2754</t>
  </si>
  <si>
    <t>Varga István</t>
  </si>
  <si>
    <t>031227773</t>
  </si>
  <si>
    <t>2025.09.25 16:03:00</t>
  </si>
  <si>
    <t>MÁESZ - 25 - Forsight - Egészség 45+ Férfi</t>
  </si>
  <si>
    <t>MAESZ-2025-2711</t>
  </si>
  <si>
    <t>Hegedűs Zsolt</t>
  </si>
  <si>
    <t>026895608</t>
  </si>
  <si>
    <t>2025.09.23 14:06:00</t>
  </si>
  <si>
    <t>MÁESZ - 25 - General - Törődés Férfi</t>
  </si>
  <si>
    <t>MAESZ-2025-2633</t>
  </si>
  <si>
    <t>Szögi Csilla</t>
  </si>
  <si>
    <t>089035894</t>
  </si>
  <si>
    <t>2025.09.19 10:04:00</t>
  </si>
  <si>
    <t>MÁESZ - 25 - General - Törődés Női</t>
  </si>
  <si>
    <t>MAESZ-2025-2737</t>
  </si>
  <si>
    <t>Joely Vega</t>
  </si>
  <si>
    <t>2025.09.25 11:31:00</t>
  </si>
  <si>
    <t>MAESZ-2025-2750</t>
  </si>
  <si>
    <t>Albertné Seres Otília</t>
  </si>
  <si>
    <t>082637411</t>
  </si>
  <si>
    <t>2025.09.25 14:40:00</t>
  </si>
  <si>
    <t>MAESZ-2025-2831</t>
  </si>
  <si>
    <t>Szombathelyi Gáborné</t>
  </si>
  <si>
    <t>075930202</t>
  </si>
  <si>
    <t>2025.09.29 14:05:00</t>
  </si>
  <si>
    <t>MAESZ-2025-2826</t>
  </si>
  <si>
    <t>Tujner Tímea</t>
  </si>
  <si>
    <t>078556108</t>
  </si>
  <si>
    <t>2025.09.29 13:52:00</t>
  </si>
  <si>
    <t>MAESZ-2025-2805</t>
  </si>
  <si>
    <t>Czampa Miklós</t>
  </si>
  <si>
    <t>042076818</t>
  </si>
  <si>
    <t>2025.09.29 09:19:00</t>
  </si>
  <si>
    <t>MÁESZ - 25 - Precision - Gondoskodás Férfi</t>
  </si>
  <si>
    <t>MAESZ-2025-2811</t>
  </si>
  <si>
    <t>Mészáros Szilárd</t>
  </si>
  <si>
    <t>026195496</t>
  </si>
  <si>
    <t>2025.09.29 10:04:00</t>
  </si>
  <si>
    <t>MAESZ-2025-2808</t>
  </si>
  <si>
    <t>Fehér József</t>
  </si>
  <si>
    <t>028255215</t>
  </si>
  <si>
    <t>2025.09.29 09:31:00</t>
  </si>
  <si>
    <t>JASZ-2025-205</t>
  </si>
  <si>
    <t>Horváth Róbert Ervin</t>
  </si>
  <si>
    <t>024167505</t>
  </si>
  <si>
    <t>2025.09.13 15:05:00</t>
  </si>
  <si>
    <t>MAESZ-2025-2719</t>
  </si>
  <si>
    <t>Magda Levente</t>
  </si>
  <si>
    <t>2025.09.24 11:24:00</t>
  </si>
  <si>
    <t>MAESZ-2025-2679</t>
  </si>
  <si>
    <t>Nochta Máté Imre</t>
  </si>
  <si>
    <t>041972841</t>
  </si>
  <si>
    <t>2025.09.22 08:28:00</t>
  </si>
  <si>
    <t>MAESZ-2025-2685</t>
  </si>
  <si>
    <t>Méri Péter</t>
  </si>
  <si>
    <t>038585164</t>
  </si>
  <si>
    <t>2025.09.22 09:35:00</t>
  </si>
  <si>
    <t>MAESZ-2025-2688</t>
  </si>
  <si>
    <t>Fodor Endre</t>
  </si>
  <si>
    <t>023607860</t>
  </si>
  <si>
    <t>2025.09.22 10:05:00</t>
  </si>
  <si>
    <t>MAESZ-2025-2513</t>
  </si>
  <si>
    <t>Balla Zsolt</t>
  </si>
  <si>
    <t>028947129</t>
  </si>
  <si>
    <t>2025.09.03 08:19:00</t>
  </si>
  <si>
    <t>HNG-2025-5577</t>
  </si>
  <si>
    <t>Czigány Sándor</t>
  </si>
  <si>
    <t>021398609</t>
  </si>
  <si>
    <t>2025.09.03 14:29:00</t>
  </si>
  <si>
    <t>MAESZ-2025-2546</t>
  </si>
  <si>
    <t>028268408</t>
  </si>
  <si>
    <t>MAESZ-2025-2545</t>
  </si>
  <si>
    <t>Börczi Balázs</t>
  </si>
  <si>
    <t>035654324</t>
  </si>
  <si>
    <t>2025.09.03 14:55:00</t>
  </si>
  <si>
    <t>MAESZ-2025-2547</t>
  </si>
  <si>
    <t>Deák Petra</t>
  </si>
  <si>
    <t>2025.09.03 15:03:00</t>
  </si>
  <si>
    <t>MÁESZ - 25 - Precision - Gondoskodás Női</t>
  </si>
  <si>
    <t>MAESZ-2025-2505</t>
  </si>
  <si>
    <t>Martonné Simon Krisztina</t>
  </si>
  <si>
    <t>086825692</t>
  </si>
  <si>
    <t>MAESZ-2025-2488</t>
  </si>
  <si>
    <t>Balla Barbara</t>
  </si>
  <si>
    <t>079183163</t>
  </si>
  <si>
    <t>HNG-2025-5507</t>
  </si>
  <si>
    <t>Tuczay Márta</t>
  </si>
  <si>
    <t>086568395</t>
  </si>
  <si>
    <t>2025.09.02 09:28:00</t>
  </si>
  <si>
    <t>MAESZ-2025-2720</t>
  </si>
  <si>
    <t>Nagy-György Andrea</t>
  </si>
  <si>
    <t>091012649</t>
  </si>
  <si>
    <t>2025.09.24 11:32:00</t>
  </si>
  <si>
    <t>MAESZ-2025-2714</t>
  </si>
  <si>
    <t>Jancsóné Sági Andrea</t>
  </si>
  <si>
    <t>2025.09.23 15:11:00</t>
  </si>
  <si>
    <t>MAESZ-2025-2709</t>
  </si>
  <si>
    <t>Habók Bianka</t>
  </si>
  <si>
    <t>2025.09.23 13:21:00</t>
  </si>
  <si>
    <t>MAESZ-2025-2701</t>
  </si>
  <si>
    <t>Tóth-Pákozdi Patrícia</t>
  </si>
  <si>
    <t>093522791</t>
  </si>
  <si>
    <t>2025.09.23 08:33:00</t>
  </si>
  <si>
    <t>MAESZ-2025-2696</t>
  </si>
  <si>
    <t>Berta-Kiss Beatrix</t>
  </si>
  <si>
    <t>2025.09.22 14:39:00</t>
  </si>
  <si>
    <t>MAESZ-2025-2698</t>
  </si>
  <si>
    <t>Pócs Éva</t>
  </si>
  <si>
    <t>092017764</t>
  </si>
  <si>
    <t>2025.09.22 15:06:00</t>
  </si>
  <si>
    <t>MAESZ-2025-2636</t>
  </si>
  <si>
    <t>Dózsa-Gazda Bella</t>
  </si>
  <si>
    <t>095795975</t>
  </si>
  <si>
    <t>2025.09.19 10:29:00</t>
  </si>
  <si>
    <t>MAESZ-2025-2647</t>
  </si>
  <si>
    <t>Purczel Rita</t>
  </si>
  <si>
    <t>078113035</t>
  </si>
  <si>
    <t>2025.09.19 11:37:00</t>
  </si>
  <si>
    <t>MAESZ-2025-2641</t>
  </si>
  <si>
    <t>Szabóné Somogyi Judit</t>
  </si>
  <si>
    <t>086191926</t>
  </si>
  <si>
    <t>2025.09.19 10:57:00</t>
  </si>
  <si>
    <t>MAESZ-2025-2638</t>
  </si>
  <si>
    <t>Bukovszkiné Sallai Edit Katalin</t>
  </si>
  <si>
    <t>072473328</t>
  </si>
  <si>
    <t>2025.09.19 10:39:00</t>
  </si>
  <si>
    <t>MAESZ-2025-2807</t>
  </si>
  <si>
    <t>Paluska Jánosné</t>
  </si>
  <si>
    <t>077499981</t>
  </si>
  <si>
    <t>2025.09.29 09:24:00</t>
  </si>
  <si>
    <t>MAESZ-2025-2813</t>
  </si>
  <si>
    <t>Fehér Józsefné</t>
  </si>
  <si>
    <t>078807510</t>
  </si>
  <si>
    <t>2025.09.29 10:10:00</t>
  </si>
  <si>
    <t>MAESZ-2025-2803</t>
  </si>
  <si>
    <t>Ács Zsoltné</t>
  </si>
  <si>
    <t>076532971</t>
  </si>
  <si>
    <t>2025.09.29 09:02:00</t>
  </si>
  <si>
    <t>MAESZ-2025-2733</t>
  </si>
  <si>
    <t>Rédainé Pásztor Szerénke Kirilla</t>
  </si>
  <si>
    <t>078127751</t>
  </si>
  <si>
    <t>MAESZ-2025-2837</t>
  </si>
  <si>
    <t>Szabó-Marton Tímea</t>
  </si>
  <si>
    <t>091698393</t>
  </si>
  <si>
    <t>2025.09.30 08:23:00</t>
  </si>
  <si>
    <t>MAESZ-2025-2727</t>
  </si>
  <si>
    <t>Melis Péter</t>
  </si>
  <si>
    <t>037360393</t>
  </si>
  <si>
    <t>2025.09.25 09:41:00</t>
  </si>
  <si>
    <t>MÁESZ - 25 - Overall - Törődés 45+ Férfi</t>
  </si>
  <si>
    <t>MAESZ-2025-2725</t>
  </si>
  <si>
    <t>Varga Róbert</t>
  </si>
  <si>
    <t>029858125</t>
  </si>
  <si>
    <t>2025.09.25 09:33:00</t>
  </si>
  <si>
    <t>MAESZ-2025-2746</t>
  </si>
  <si>
    <t>Szentesi László</t>
  </si>
  <si>
    <t>028005041</t>
  </si>
  <si>
    <t>2025.09.25 13:27:00</t>
  </si>
  <si>
    <t>MAESZ-2025-2778</t>
  </si>
  <si>
    <t>Kovács Attila Zoltán</t>
  </si>
  <si>
    <t>027419092</t>
  </si>
  <si>
    <t>2025.09.27 14:46:00</t>
  </si>
  <si>
    <t>MAESZ-2025-2819</t>
  </si>
  <si>
    <t>Mátyus Szabolcs</t>
  </si>
  <si>
    <t>043239560</t>
  </si>
  <si>
    <t>2025.09.29 11:32:00</t>
  </si>
  <si>
    <t>MAESZ-2025-2833</t>
  </si>
  <si>
    <t>Pásztor Turák Tamás</t>
  </si>
  <si>
    <t>025322275</t>
  </si>
  <si>
    <t>2025.09.29 14:15:00</t>
  </si>
  <si>
    <t>MAESZ-2025-2686</t>
  </si>
  <si>
    <t>Tóth Bálint</t>
  </si>
  <si>
    <t>039378343</t>
  </si>
  <si>
    <t>2025.09.22 09:37:00</t>
  </si>
  <si>
    <t>MAESZ-2025-2482</t>
  </si>
  <si>
    <t>Rozner Imre</t>
  </si>
  <si>
    <t>027678468</t>
  </si>
  <si>
    <t>MAESZ-2025-2687</t>
  </si>
  <si>
    <t>Vereckei Orsolya</t>
  </si>
  <si>
    <t>081655441</t>
  </si>
  <si>
    <t>2025.09.22 10:01:00</t>
  </si>
  <si>
    <t>MÁESZ - 25 - Overall - Törődés 45+ Női</t>
  </si>
  <si>
    <t>MAESZ-2025-2710</t>
  </si>
  <si>
    <t>Bodnár Beáta</t>
  </si>
  <si>
    <t>081709018</t>
  </si>
  <si>
    <t>2025.09.23 13:40:00</t>
  </si>
  <si>
    <t>MAESZ-2025-2644</t>
  </si>
  <si>
    <t>Lengyel Piroska Noémi</t>
  </si>
  <si>
    <t>074365108</t>
  </si>
  <si>
    <t>2025.09.19 11:11:00</t>
  </si>
  <si>
    <t>MAESZ-2025-2649</t>
  </si>
  <si>
    <t>Jakusné Tóth Zsuzsanna</t>
  </si>
  <si>
    <t>076017827</t>
  </si>
  <si>
    <t>2025.09.19 12:51:00</t>
  </si>
  <si>
    <t>MAESZ-2025-2757</t>
  </si>
  <si>
    <t>Bocio Angéla</t>
  </si>
  <si>
    <t>2025.09.26 08:14:00</t>
  </si>
  <si>
    <t>MAESZ-2025-2755</t>
  </si>
  <si>
    <t>Albert Csaba Tamás</t>
  </si>
  <si>
    <t>032006425</t>
  </si>
  <si>
    <t>2025.09.26 07:56:00</t>
  </si>
  <si>
    <t>MÁESZ - 25 - Quality - Gondoskodás 45+ Férfi</t>
  </si>
  <si>
    <t>MAESZ-2025-2728</t>
  </si>
  <si>
    <t>Nagy Zsolt</t>
  </si>
  <si>
    <t>035758192</t>
  </si>
  <si>
    <t>2025.09.25 09:56:00</t>
  </si>
  <si>
    <t>MAESZ-2025-2764</t>
  </si>
  <si>
    <t>Dr. Bódi Zoltán</t>
  </si>
  <si>
    <t>037250599</t>
  </si>
  <si>
    <t>2025.09.26 10:06:00</t>
  </si>
  <si>
    <t>MAESZ-2025-2804</t>
  </si>
  <si>
    <t>Maloveczky Gyula</t>
  </si>
  <si>
    <t>024691954</t>
  </si>
  <si>
    <t>2025.09.29 09:12:00</t>
  </si>
  <si>
    <t>MAESZ-2025-2810</t>
  </si>
  <si>
    <t>Bihari Ákos</t>
  </si>
  <si>
    <t>035768023</t>
  </si>
  <si>
    <t>2025.09.29 09:41:00</t>
  </si>
  <si>
    <t>MAESZ-2025-2713</t>
  </si>
  <si>
    <t>Welten Marinus Autonie</t>
  </si>
  <si>
    <t>2025.09.23 14:48:00</t>
  </si>
  <si>
    <t>MAESZ-2025-2703</t>
  </si>
  <si>
    <t>Rábai Zoltán Péter</t>
  </si>
  <si>
    <t>032003259</t>
  </si>
  <si>
    <t>2025.09.23 09:21:00</t>
  </si>
  <si>
    <t>MAESZ-2025-2684</t>
  </si>
  <si>
    <t>Fazekas Sándor</t>
  </si>
  <si>
    <t>036464003</t>
  </si>
  <si>
    <t>2025.09.22 09:28:00</t>
  </si>
  <si>
    <t>MAESZ-2025-2584</t>
  </si>
  <si>
    <t>Gyenes-Lele Adrian</t>
  </si>
  <si>
    <t>035003090</t>
  </si>
  <si>
    <t>2025.09.08 11:33:00</t>
  </si>
  <si>
    <t>MAESZ-2025-2598</t>
  </si>
  <si>
    <t>Békefi Judit</t>
  </si>
  <si>
    <t>082639707</t>
  </si>
  <si>
    <t>MÁESZ - 25 - Quality - Gondoskodás 45+ Női</t>
  </si>
  <si>
    <t>HNG-2025-5512</t>
  </si>
  <si>
    <t>Vass Ágota</t>
  </si>
  <si>
    <t>076044928</t>
  </si>
  <si>
    <t>2025.09.02 10:11:00</t>
  </si>
  <si>
    <t>MAESZ-2025-2682</t>
  </si>
  <si>
    <t>Gellén Judit</t>
  </si>
  <si>
    <t>076627846</t>
  </si>
  <si>
    <t>2025.09.22 09:15:00</t>
  </si>
  <si>
    <t>MAESZ-2025-2635</t>
  </si>
  <si>
    <t>Pölczné Csernus Ildikó</t>
  </si>
  <si>
    <t>075395375</t>
  </si>
  <si>
    <t>2025.09.19 10:20:00</t>
  </si>
  <si>
    <t>MAESZ-2025-2616</t>
  </si>
  <si>
    <t>Bárány-Dobos Angéla</t>
  </si>
  <si>
    <t>2025.09.13 14:35:00</t>
  </si>
  <si>
    <t>MAESZ-2025-2773</t>
  </si>
  <si>
    <t>Juhász Anita</t>
  </si>
  <si>
    <t>079700074</t>
  </si>
  <si>
    <t>2025.09.27 11:31:00</t>
  </si>
  <si>
    <t>MAESZ-2025-2741</t>
  </si>
  <si>
    <t>Verőczi - Gyurász Zsuzsanna</t>
  </si>
  <si>
    <t>090249521</t>
  </si>
  <si>
    <t>2025.09.25 12:32:00</t>
  </si>
  <si>
    <t>MAESZ-2025-2758</t>
  </si>
  <si>
    <t>Vasas Dominika</t>
  </si>
  <si>
    <t>2025.09.26 08:36:00</t>
  </si>
  <si>
    <t>MÁESZ - 25 - E1 - Endokrin - Pajzsmirigy bázis</t>
  </si>
  <si>
    <t>MAESZ-2025-2740</t>
  </si>
  <si>
    <t>Csohány Péter</t>
  </si>
  <si>
    <t>034393916</t>
  </si>
  <si>
    <t>2025.09.25 11:53:00</t>
  </si>
  <si>
    <t>MAESZ-2025-2767</t>
  </si>
  <si>
    <t>Jeszenszky Szilvia</t>
  </si>
  <si>
    <t>MAESZ-2025-2797</t>
  </si>
  <si>
    <t>Balogh Anita</t>
  </si>
  <si>
    <t>089457751</t>
  </si>
  <si>
    <t>2025.09.29 07:58:00</t>
  </si>
  <si>
    <t>MAESZ-2025-2830</t>
  </si>
  <si>
    <t>Viola Eszter</t>
  </si>
  <si>
    <t>MAESZ-2025-2637</t>
  </si>
  <si>
    <t>Szatmáriné Drahos Edit</t>
  </si>
  <si>
    <t>073709684</t>
  </si>
  <si>
    <t>2025.09.19 10:35:00</t>
  </si>
  <si>
    <t>MAESZ-2025-2631</t>
  </si>
  <si>
    <t>Ilka Alexandra</t>
  </si>
  <si>
    <t>2025.09.19 08:24:00</t>
  </si>
  <si>
    <t>MAESZ-2025-2657</t>
  </si>
  <si>
    <t>Módráné Csizmadi Marina</t>
  </si>
  <si>
    <t>089045897</t>
  </si>
  <si>
    <t>2025.09.19 14:36:00</t>
  </si>
  <si>
    <t>MAESZ-2025-2659</t>
  </si>
  <si>
    <t>Oláh Istvánné</t>
  </si>
  <si>
    <t>067041985</t>
  </si>
  <si>
    <t>2025.09.19 15:38:00</t>
  </si>
  <si>
    <t>JASZ-2025-229</t>
  </si>
  <si>
    <t>Pekár Magdolna</t>
  </si>
  <si>
    <t>091937674</t>
  </si>
  <si>
    <t>2025.09.20 08:50:00</t>
  </si>
  <si>
    <t>MAESZ-2025-2670</t>
  </si>
  <si>
    <t>Doroginé Török Andrea</t>
  </si>
  <si>
    <t>087592694</t>
  </si>
  <si>
    <t>2025.09.20 13:49:00</t>
  </si>
  <si>
    <t>MAESZ-2025-2663</t>
  </si>
  <si>
    <t>Galambosné Osztobányi Lilla Eszter</t>
  </si>
  <si>
    <t>2025.09.20 09:49:00</t>
  </si>
  <si>
    <t>MAESZ-2025-2666</t>
  </si>
  <si>
    <t>Huszti Virág</t>
  </si>
  <si>
    <t>093123288</t>
  </si>
  <si>
    <t>2025.09.20 10:52:00</t>
  </si>
  <si>
    <t>MAESZ-2025-2715</t>
  </si>
  <si>
    <t>Zsíros Laura</t>
  </si>
  <si>
    <t>MAESZ-2025-2515</t>
  </si>
  <si>
    <t>Varga Klaudia</t>
  </si>
  <si>
    <t>081074864</t>
  </si>
  <si>
    <t>2025.09.03 08:28:00</t>
  </si>
  <si>
    <t>MAESZ-2025-2516</t>
  </si>
  <si>
    <t>Szabóné Hegedűs Gizella</t>
  </si>
  <si>
    <t>076841143</t>
  </si>
  <si>
    <t>2025.09.03 08:33:00</t>
  </si>
  <si>
    <t>MAESZ-2025-2517</t>
  </si>
  <si>
    <t>Szikora Melinda</t>
  </si>
  <si>
    <t>091000800</t>
  </si>
  <si>
    <t>MAESZ-2025-2524</t>
  </si>
  <si>
    <t>Krompaszky-Kiss Orsolya</t>
  </si>
  <si>
    <t>089286797</t>
  </si>
  <si>
    <t>2025.09.03 09:59:00</t>
  </si>
  <si>
    <t>MAESZ-2025-2541</t>
  </si>
  <si>
    <t>fonnyadtné Hemela Andrea</t>
  </si>
  <si>
    <t>082346629</t>
  </si>
  <si>
    <t>2025.09.03 13:59:00</t>
  </si>
  <si>
    <t>MAESZ-2025-2594</t>
  </si>
  <si>
    <t>Schillerné Földes Mária</t>
  </si>
  <si>
    <t>072689475</t>
  </si>
  <si>
    <t>2025.09.12 08:50:00</t>
  </si>
  <si>
    <t>MAESZ-2025-2576</t>
  </si>
  <si>
    <t>Bokor Zsófia</t>
  </si>
  <si>
    <t>2025.09.08 09:59:00</t>
  </si>
  <si>
    <t>MAESZ-2025-2574</t>
  </si>
  <si>
    <t>Csernaj-Nagy Boglárka</t>
  </si>
  <si>
    <t>090721311</t>
  </si>
  <si>
    <t>2025.09.08 09:57:00</t>
  </si>
  <si>
    <t>MAESZ-2025-2563</t>
  </si>
  <si>
    <t>Pál Cecilia</t>
  </si>
  <si>
    <t>291883IE</t>
  </si>
  <si>
    <t>2025.09.05 10:33:00</t>
  </si>
  <si>
    <t>MÁESZ - 25 - E2 - Endokrin - Pajzsmirigy bővített</t>
  </si>
  <si>
    <t>MAESZ-2025-2565</t>
  </si>
  <si>
    <t>Köles-Márton Izabella</t>
  </si>
  <si>
    <t>2025.09.05 11:33:00</t>
  </si>
  <si>
    <t>MAESZ-2025-2588</t>
  </si>
  <si>
    <t>Tilli Szilvia</t>
  </si>
  <si>
    <t>090575042</t>
  </si>
  <si>
    <t>2025.09.08 14:11:00</t>
  </si>
  <si>
    <t>MAESZ-2025-2527</t>
  </si>
  <si>
    <t>Borsos József</t>
  </si>
  <si>
    <t>026761075</t>
  </si>
  <si>
    <t>2025.09.03 10:42:00</t>
  </si>
  <si>
    <t>MAESZ-2025-2523</t>
  </si>
  <si>
    <t>Pálfiné Gyutai Csilla</t>
  </si>
  <si>
    <t>083336849</t>
  </si>
  <si>
    <t>2025.09.03 09:57:00</t>
  </si>
  <si>
    <t>HNG-2025-5514</t>
  </si>
  <si>
    <t>Pethő Ágnes</t>
  </si>
  <si>
    <t>082608828</t>
  </si>
  <si>
    <t>2025.09.02 10:35:00</t>
  </si>
  <si>
    <t>MAESZ-2025-2500</t>
  </si>
  <si>
    <t>Fehér Boglárka</t>
  </si>
  <si>
    <t>2025.09.02 13:52:00</t>
  </si>
  <si>
    <t>HNG-2025-5506</t>
  </si>
  <si>
    <t>Farkas Nikoletta</t>
  </si>
  <si>
    <t>095736039</t>
  </si>
  <si>
    <t>2025.09.02 08:58:00</t>
  </si>
  <si>
    <t>MAESZ-2025-2712</t>
  </si>
  <si>
    <t>Nagy Árpád Jánosné</t>
  </si>
  <si>
    <t>074591316</t>
  </si>
  <si>
    <t>2025.09.23 14:22:00</t>
  </si>
  <si>
    <t>MAESZ-2025-2699</t>
  </si>
  <si>
    <t>Tar Attila</t>
  </si>
  <si>
    <t>031936998</t>
  </si>
  <si>
    <t>2025.09.23 07:49:00</t>
  </si>
  <si>
    <t>MAESZ-2025-2693</t>
  </si>
  <si>
    <t>Dózsa Gergő</t>
  </si>
  <si>
    <t>2025.09.22 12:59:00</t>
  </si>
  <si>
    <t>MAESZ-2025-2667</t>
  </si>
  <si>
    <t>Horváth Emese Csilla</t>
  </si>
  <si>
    <t>2025.09.20 11:00:00</t>
  </si>
  <si>
    <t>MAESZ-2025-2664</t>
  </si>
  <si>
    <t>Csipak Hermina</t>
  </si>
  <si>
    <t>2025.09.20 10:22:00</t>
  </si>
  <si>
    <t>MAESZ-2025-2669</t>
  </si>
  <si>
    <t>Kulik Gabriella Éva</t>
  </si>
  <si>
    <t>081109834</t>
  </si>
  <si>
    <t>2025.09.20 13:11:00</t>
  </si>
  <si>
    <t>MAESZ-2025-2642</t>
  </si>
  <si>
    <t>Japport Gabriella</t>
  </si>
  <si>
    <t>090364976</t>
  </si>
  <si>
    <t>2025.09.19 11:00:00</t>
  </si>
  <si>
    <t>MAESZ-2025-2643</t>
  </si>
  <si>
    <t>Kolmann Éva</t>
  </si>
  <si>
    <t>086399593</t>
  </si>
  <si>
    <t>MAESZ-2025-2650</t>
  </si>
  <si>
    <t>Japport Ákos</t>
  </si>
  <si>
    <t>043498589</t>
  </si>
  <si>
    <t>2025.09.19 12:53:00</t>
  </si>
  <si>
    <t>MAESZ-2025-2646</t>
  </si>
  <si>
    <t>Hufnágl- Juhász Judit</t>
  </si>
  <si>
    <t>088736811</t>
  </si>
  <si>
    <t>2025.09.19 11:27:00</t>
  </si>
  <si>
    <t>MAESZ-2025-2604</t>
  </si>
  <si>
    <t>Murin Eszter Anna</t>
  </si>
  <si>
    <t>087560921</t>
  </si>
  <si>
    <t>2025.09.12 13:08:00</t>
  </si>
  <si>
    <t>MAESZ-2025-2817</t>
  </si>
  <si>
    <t>Jónás Julianna</t>
  </si>
  <si>
    <t>085027642</t>
  </si>
  <si>
    <t>2025.09.29 10:56:00</t>
  </si>
  <si>
    <t>MAESZ-2025-2744</t>
  </si>
  <si>
    <t>Szrencsik Judit</t>
  </si>
  <si>
    <t>074552490</t>
  </si>
  <si>
    <t>2025.09.25 13:10:00</t>
  </si>
  <si>
    <t>MAESZ-2025-2775</t>
  </si>
  <si>
    <t>Svébisné Lantos Katalin</t>
  </si>
  <si>
    <t>087656707</t>
  </si>
  <si>
    <t>2025.09.27 13:00:00</t>
  </si>
  <si>
    <t>MAESZ-2025-2788</t>
  </si>
  <si>
    <t>Nagy Andrea</t>
  </si>
  <si>
    <t>078886225</t>
  </si>
  <si>
    <t>2025.09.28 11:10:00</t>
  </si>
  <si>
    <t>MAESZ-2025-2790</t>
  </si>
  <si>
    <t>Stevensné Száday Edit</t>
  </si>
  <si>
    <t>078786857</t>
  </si>
  <si>
    <t>2025.09.28 13:46:00</t>
  </si>
  <si>
    <t>MAESZ-2025-2791</t>
  </si>
  <si>
    <t>2025.09.28 13:47:00</t>
  </si>
  <si>
    <t>MAESZ-2025-2792</t>
  </si>
  <si>
    <t>2025.09.28 13:49:00</t>
  </si>
  <si>
    <t>MAESZ-2025-2749</t>
  </si>
  <si>
    <t>Vincze Ágnes</t>
  </si>
  <si>
    <t>086251103</t>
  </si>
  <si>
    <t>2025.09.25 13:56:00</t>
  </si>
  <si>
    <t>MAESZ-2025-2841</t>
  </si>
  <si>
    <t>Somoigyi Dávid</t>
  </si>
  <si>
    <t>040583156</t>
  </si>
  <si>
    <t>2025.09.30 09:08:00</t>
  </si>
  <si>
    <t>MAESZ-2025-2759</t>
  </si>
  <si>
    <t>Kovácsné Petrányi Adrienn</t>
  </si>
  <si>
    <t>2025.09.26 08:45:00</t>
  </si>
  <si>
    <t>MÁESZ - 25 - E3 - Endokrin - Pajzsmirigy komplex</t>
  </si>
  <si>
    <t>MAESZ-2025-2730</t>
  </si>
  <si>
    <t>Bordács Mónika</t>
  </si>
  <si>
    <t>079939025</t>
  </si>
  <si>
    <t>2025.09.25 10:18:00</t>
  </si>
  <si>
    <t>MAESZ-2025-2768</t>
  </si>
  <si>
    <t>Kalucza Vivien Eszter</t>
  </si>
  <si>
    <t>2025.09.26 11:05:00</t>
  </si>
  <si>
    <t>MAESZ-2025-2815</t>
  </si>
  <si>
    <t>Vári Szilvia</t>
  </si>
  <si>
    <t>081705852</t>
  </si>
  <si>
    <t>2025.09.29 10:37:00</t>
  </si>
  <si>
    <t>MAESZ-2025-2801</t>
  </si>
  <si>
    <t>Pászti-Dodonka Hajnalka</t>
  </si>
  <si>
    <t>088658481</t>
  </si>
  <si>
    <t>2025.09.29 08:50:00</t>
  </si>
  <si>
    <t>MAESZ-2025-2829</t>
  </si>
  <si>
    <t>Szombathelyi Szilvia</t>
  </si>
  <si>
    <t>090206652</t>
  </si>
  <si>
    <t>2025.09.29 14:00:00</t>
  </si>
  <si>
    <t>MAESZ-2025-2611</t>
  </si>
  <si>
    <t>Szauer Klaudia</t>
  </si>
  <si>
    <t>083824744</t>
  </si>
  <si>
    <t>2025.09.13 13:07:00</t>
  </si>
  <si>
    <t>MAESZ-2025-2634</t>
  </si>
  <si>
    <t>Szaláncziné Vezendi Réka</t>
  </si>
  <si>
    <t>087544181</t>
  </si>
  <si>
    <t>2025.09.19 10:16:00</t>
  </si>
  <si>
    <t>MAESZ-2025-2661</t>
  </si>
  <si>
    <t>Szalai Gabriella</t>
  </si>
  <si>
    <t>085629071</t>
  </si>
  <si>
    <t>2025.09.20 08:58:00</t>
  </si>
  <si>
    <t>MAESZ-2025-2660</t>
  </si>
  <si>
    <t>Szentgyörgyi Jánosné</t>
  </si>
  <si>
    <t>081300079</t>
  </si>
  <si>
    <t>2025.09.19 15:43:00</t>
  </si>
  <si>
    <t>MAESZ-2025-2655</t>
  </si>
  <si>
    <t>2025.09.19 14:06:00</t>
  </si>
  <si>
    <t>MAESZ-2025-2681</t>
  </si>
  <si>
    <t>Mayer Ferenc</t>
  </si>
  <si>
    <t>025039427</t>
  </si>
  <si>
    <t>2025.09.22 08:46:00</t>
  </si>
  <si>
    <t>MAESZ-2025-2697</t>
  </si>
  <si>
    <t>Novákné Finta Csilla</t>
  </si>
  <si>
    <t>089623985</t>
  </si>
  <si>
    <t>2025.09.22 14:43:00</t>
  </si>
  <si>
    <t>MAESZ-2025-2724</t>
  </si>
  <si>
    <t>Kovács Emese</t>
  </si>
  <si>
    <t>092379279</t>
  </si>
  <si>
    <t>2025.09.25 09:09:00</t>
  </si>
  <si>
    <t>MAESZ-2025-2483</t>
  </si>
  <si>
    <t>Nagyné Tercz Márta</t>
  </si>
  <si>
    <t>086042639</t>
  </si>
  <si>
    <t>2025.09.02 09:04:00</t>
  </si>
  <si>
    <t>HNG-2025-5502</t>
  </si>
  <si>
    <t>Tóth-Kovács Diána</t>
  </si>
  <si>
    <t>MAESZ-2025-2480</t>
  </si>
  <si>
    <t>Rejzingerné Dolmány Gabriella</t>
  </si>
  <si>
    <t>075689601</t>
  </si>
  <si>
    <t>2025.09.02 08:30:00</t>
  </si>
  <si>
    <t>MAESZ-2025-2498</t>
  </si>
  <si>
    <t>Verebélyiné Borovics Bettina</t>
  </si>
  <si>
    <t>090091667</t>
  </si>
  <si>
    <t>2025.09.02 13:42:00</t>
  </si>
  <si>
    <t>MAESZ-2025-2543</t>
  </si>
  <si>
    <t>2025.09.03 14:11:00</t>
  </si>
  <si>
    <t>MAESZ-2025-2552</t>
  </si>
  <si>
    <t>Tímár Henrietta Tünde</t>
  </si>
  <si>
    <t>076874019</t>
  </si>
  <si>
    <t>2025.09.03 15:55:00</t>
  </si>
  <si>
    <t>MAESZ-2025-2570</t>
  </si>
  <si>
    <t>Grillo-Nagy Renáta</t>
  </si>
  <si>
    <t>086244008</t>
  </si>
  <si>
    <t>2025.09.08 09:31:00</t>
  </si>
  <si>
    <t>MAESZ-2025-2582</t>
  </si>
  <si>
    <t>Huszár Zoltán</t>
  </si>
  <si>
    <t>033277042</t>
  </si>
  <si>
    <t>2025.09.08 11:01:00</t>
  </si>
  <si>
    <t>MÁESZ - 25 - Balance - Tumormarker csomag Férfi</t>
  </si>
  <si>
    <t>MAESZ-2025-2583</t>
  </si>
  <si>
    <t>Gulyás Tamás</t>
  </si>
  <si>
    <t>039801733</t>
  </si>
  <si>
    <t>2025.09.08 11:02:00</t>
  </si>
  <si>
    <t>MAESZ-2025-2553</t>
  </si>
  <si>
    <t>Venesz Gábor</t>
  </si>
  <si>
    <t>019968001</t>
  </si>
  <si>
    <t>2025.09.04 13:06:00</t>
  </si>
  <si>
    <t>MAESZ-2025-2555</t>
  </si>
  <si>
    <t>Szabó László</t>
  </si>
  <si>
    <t>032589418</t>
  </si>
  <si>
    <t>2025.09.04 15:12:00</t>
  </si>
  <si>
    <t>MAESZ-2025-2560</t>
  </si>
  <si>
    <t>Bodor József</t>
  </si>
  <si>
    <t>024688699</t>
  </si>
  <si>
    <t>MAESZ-2025-2557</t>
  </si>
  <si>
    <t>Fenyvesi Gábor</t>
  </si>
  <si>
    <t>025990504</t>
  </si>
  <si>
    <t>2025.09.05 09:39:00</t>
  </si>
  <si>
    <t>MAESZ-2025-2596</t>
  </si>
  <si>
    <t>Téglás Béla</t>
  </si>
  <si>
    <t>022970956</t>
  </si>
  <si>
    <t>2025.09.12 09:11:00</t>
  </si>
  <si>
    <t>MAESZ-2025-2544</t>
  </si>
  <si>
    <t>Horváth Imre</t>
  </si>
  <si>
    <t>014722974</t>
  </si>
  <si>
    <t>2025.09.03 14:31:00</t>
  </si>
  <si>
    <t>MAESZ-2025-2551</t>
  </si>
  <si>
    <t>Szitáné Mózer Veronika</t>
  </si>
  <si>
    <t>076133530</t>
  </si>
  <si>
    <t>2025.09.03 15:53:00</t>
  </si>
  <si>
    <t>MAESZ-2025-2533</t>
  </si>
  <si>
    <t>Tóth Krisztián</t>
  </si>
  <si>
    <t>036713428</t>
  </si>
  <si>
    <t>2025.09.03 12:56:00</t>
  </si>
  <si>
    <t>MAESZ-2025-2534</t>
  </si>
  <si>
    <t>Bozzai Ernő</t>
  </si>
  <si>
    <t>040002332</t>
  </si>
  <si>
    <t>2025.09.03 13:03:00</t>
  </si>
  <si>
    <t>MAESZ-2025-2535</t>
  </si>
  <si>
    <t>Lázár Ferenc</t>
  </si>
  <si>
    <t>033191630</t>
  </si>
  <si>
    <t>2025.09.03 13:08:00</t>
  </si>
  <si>
    <t>MAESZ-2025-2508</t>
  </si>
  <si>
    <t>Hetényi Márk</t>
  </si>
  <si>
    <t>040521518</t>
  </si>
  <si>
    <t>2025.09.02 14:56:00</t>
  </si>
  <si>
    <t>MAESZ-2025-2509</t>
  </si>
  <si>
    <t>Horváth Zoltán</t>
  </si>
  <si>
    <t>033958121</t>
  </si>
  <si>
    <t>2025.09.02 14:57:00</t>
  </si>
  <si>
    <t>MAESZ-2025-2519</t>
  </si>
  <si>
    <t>Pál Tibor</t>
  </si>
  <si>
    <t>034728664</t>
  </si>
  <si>
    <t>MAESZ-2025-2501</t>
  </si>
  <si>
    <t>037068518</t>
  </si>
  <si>
    <t>2025.09.02 14:01:00</t>
  </si>
  <si>
    <t>MAESZ-2025-2493</t>
  </si>
  <si>
    <t>Bécsi József Attila</t>
  </si>
  <si>
    <t>026636067</t>
  </si>
  <si>
    <t>2025.09.02 10:49:00</t>
  </si>
  <si>
    <t>HNG-2025-5504</t>
  </si>
  <si>
    <t>Kovács Péter</t>
  </si>
  <si>
    <t>036382637</t>
  </si>
  <si>
    <t>2025.09.02 08:50:00</t>
  </si>
  <si>
    <t>MAESZ-2025-2486</t>
  </si>
  <si>
    <t>Nyul Gábor</t>
  </si>
  <si>
    <t>096219692</t>
  </si>
  <si>
    <t>2025.09.02 09:34:00</t>
  </si>
  <si>
    <t>MAESZ-2025-2708</t>
  </si>
  <si>
    <t>Tóth József</t>
  </si>
  <si>
    <t>026343415</t>
  </si>
  <si>
    <t>2025.09.23 13:19:00</t>
  </si>
  <si>
    <t>MAESZ-2025-2678</t>
  </si>
  <si>
    <t>Varga Sándor</t>
  </si>
  <si>
    <t>023266100</t>
  </si>
  <si>
    <t>2025.09.22 08:13:00</t>
  </si>
  <si>
    <t>MAESZ-2025-2691</t>
  </si>
  <si>
    <t>Vereb Zoltán</t>
  </si>
  <si>
    <t>036045604</t>
  </si>
  <si>
    <t>MAESZ-2025-2630</t>
  </si>
  <si>
    <t>Kun Zsolt</t>
  </si>
  <si>
    <t>034508956</t>
  </si>
  <si>
    <t>2025.09.19 08:21:00</t>
  </si>
  <si>
    <t>HNG-2025-5787</t>
  </si>
  <si>
    <t>Fühl József Ferenc</t>
  </si>
  <si>
    <t>032649578</t>
  </si>
  <si>
    <t>2025.09.14 15:07:00</t>
  </si>
  <si>
    <t>MAESZ-2025-2799</t>
  </si>
  <si>
    <t>Bereznyei Tamás</t>
  </si>
  <si>
    <t>036722620</t>
  </si>
  <si>
    <t>2025.09.29 08:30:00</t>
  </si>
  <si>
    <t>MAESZ-2025-2816</t>
  </si>
  <si>
    <t>Zsoldos László</t>
  </si>
  <si>
    <t>024502287</t>
  </si>
  <si>
    <t>MAESZ-2025-2814</t>
  </si>
  <si>
    <t>Kerestély Zsigmond</t>
  </si>
  <si>
    <t>023503016</t>
  </si>
  <si>
    <t>2025.09.29 10:23:00</t>
  </si>
  <si>
    <t>MAESZ-2025-2812</t>
  </si>
  <si>
    <t>Beke Gábor</t>
  </si>
  <si>
    <t>040891431</t>
  </si>
  <si>
    <t>2025.09.29 10:06:00</t>
  </si>
  <si>
    <t>MAESZ-2025-2809</t>
  </si>
  <si>
    <t>Szilágyi Ákos</t>
  </si>
  <si>
    <t>037163503</t>
  </si>
  <si>
    <t>2025.09.29 09:34:00</t>
  </si>
  <si>
    <t>MAESZ-2025-2806</t>
  </si>
  <si>
    <t>Fülöp Róbert István</t>
  </si>
  <si>
    <t>040176905</t>
  </si>
  <si>
    <t>2025.09.29 09:22:00</t>
  </si>
  <si>
    <t>MAESZ-2025-2760</t>
  </si>
  <si>
    <t>034897043</t>
  </si>
  <si>
    <t>2025.09.26 08:50:00</t>
  </si>
  <si>
    <t>MAESZ-2025-2765</t>
  </si>
  <si>
    <t>Pataki Péter</t>
  </si>
  <si>
    <t>039114415</t>
  </si>
  <si>
    <t>2025.09.26 10:11:00</t>
  </si>
  <si>
    <t>MAESZ-2025-2766</t>
  </si>
  <si>
    <t>Mikó Sándor Károly</t>
  </si>
  <si>
    <t>038838769</t>
  </si>
  <si>
    <t>2025.09.26 10:15:00</t>
  </si>
  <si>
    <t>MAESZ-2025-2763</t>
  </si>
  <si>
    <t>Bartal Ákos István</t>
  </si>
  <si>
    <t>2025.09.26 10:05:00</t>
  </si>
  <si>
    <t>MAESZ-2025-2761</t>
  </si>
  <si>
    <t>Schnabl Soma</t>
  </si>
  <si>
    <t>2025.09.26 09:31:00</t>
  </si>
  <si>
    <t>MAESZ-2025-2779</t>
  </si>
  <si>
    <t>Csibi Ferenc</t>
  </si>
  <si>
    <t>030174973</t>
  </si>
  <si>
    <t>2025.09.27 14:50:00</t>
  </si>
  <si>
    <t>JASZ-2025-271</t>
  </si>
  <si>
    <t>Varró Attila</t>
  </si>
  <si>
    <t>012127342</t>
  </si>
  <si>
    <t>2025.09.27 12:49:00</t>
  </si>
  <si>
    <t>MAESZ-2025-2769</t>
  </si>
  <si>
    <t>Pár Krisztina</t>
  </si>
  <si>
    <t>079326074</t>
  </si>
  <si>
    <t>2025.09.27 09:02:00</t>
  </si>
  <si>
    <t>MAESZ-2025-2726</t>
  </si>
  <si>
    <t>Bencsik Péter</t>
  </si>
  <si>
    <t>MAESZ-2025-2743</t>
  </si>
  <si>
    <t>Boncsarovszky Tivadar</t>
  </si>
  <si>
    <t>029078156</t>
  </si>
  <si>
    <t>2025.09.25 13:00:00</t>
  </si>
  <si>
    <t>MAESZ-2025-2846</t>
  </si>
  <si>
    <t>Bernád Dénes</t>
  </si>
  <si>
    <t>094662542</t>
  </si>
  <si>
    <t>2025.09.30 10:10:00</t>
  </si>
  <si>
    <t>MAESZ-2025-2848</t>
  </si>
  <si>
    <t>Krár Róbert</t>
  </si>
  <si>
    <t>031214171</t>
  </si>
  <si>
    <t>2025.09.30 11:09:00</t>
  </si>
  <si>
    <t>MAESZ-2025-2849</t>
  </si>
  <si>
    <t>Kántor Ildikó</t>
  </si>
  <si>
    <t>084888358</t>
  </si>
  <si>
    <t>2025.09.30 11:15:00</t>
  </si>
  <si>
    <t>MÁESZ - 25 - Balance - Tumormarker csomag Női</t>
  </si>
  <si>
    <t>MAESZ-2025-2838</t>
  </si>
  <si>
    <t>Bányai Tímea</t>
  </si>
  <si>
    <t>078051593</t>
  </si>
  <si>
    <t>2025.09.30 08:35:00</t>
  </si>
  <si>
    <t>JASZ-2025-270</t>
  </si>
  <si>
    <t>Mosonyiné Nemcs Annamária</t>
  </si>
  <si>
    <t>074772593</t>
  </si>
  <si>
    <t>2025.09.27 09:53:00</t>
  </si>
  <si>
    <t>MAESZ-2025-2786</t>
  </si>
  <si>
    <t>Fehérvári Panna Nóra</t>
  </si>
  <si>
    <t>2025.09.28 11:02:00</t>
  </si>
  <si>
    <t>MAESZ-2025-2762</t>
  </si>
  <si>
    <t>Enyediné Erdős Eszter</t>
  </si>
  <si>
    <t>095667409</t>
  </si>
  <si>
    <t>2025.09.26 09:32:00</t>
  </si>
  <si>
    <t>MAESZ-2025-2800</t>
  </si>
  <si>
    <t>Öreg Anita</t>
  </si>
  <si>
    <t>088661595</t>
  </si>
  <si>
    <t>2025.09.29 08:33:00</t>
  </si>
  <si>
    <t>MAESZ-2025-2832</t>
  </si>
  <si>
    <t>Enache Nicoleta</t>
  </si>
  <si>
    <t>2025.09.29 14:13:00</t>
  </si>
  <si>
    <t>MAESZ-2025-2820</t>
  </si>
  <si>
    <t>Barta-Laczó Krisztina</t>
  </si>
  <si>
    <t>087022186</t>
  </si>
  <si>
    <t>2025.09.29 12:51:00</t>
  </si>
  <si>
    <t>MAESZ-2025-2818</t>
  </si>
  <si>
    <t>Tolnai Boglárka</t>
  </si>
  <si>
    <t>2025.09.29 11:24:00</t>
  </si>
  <si>
    <t>MAESZ-2025-2822</t>
  </si>
  <si>
    <t>Barta Csilla</t>
  </si>
  <si>
    <t>084765158</t>
  </si>
  <si>
    <t>2025.09.29 13:04:00</t>
  </si>
  <si>
    <t>MAESZ-2025-2627</t>
  </si>
  <si>
    <t>Bencsicsné Tóth Éva</t>
  </si>
  <si>
    <t>070078484</t>
  </si>
  <si>
    <t>2025.09.14 15:10:00</t>
  </si>
  <si>
    <t>MAESZ-2025-2620</t>
  </si>
  <si>
    <t>Nagy Tiborné</t>
  </si>
  <si>
    <t>069430422</t>
  </si>
  <si>
    <t>2025.09.14 09:46:00</t>
  </si>
  <si>
    <t>MAESZ-2025-2621</t>
  </si>
  <si>
    <t>Szeimann Józsefné</t>
  </si>
  <si>
    <t>094326042</t>
  </si>
  <si>
    <t>MAESZ-2025-2613</t>
  </si>
  <si>
    <t>Elekné Haviár Csilla</t>
  </si>
  <si>
    <t>077649801</t>
  </si>
  <si>
    <t>2025.09.13 13:36:00</t>
  </si>
  <si>
    <t>MAESZ-2025-2603</t>
  </si>
  <si>
    <t>Richter Viktória</t>
  </si>
  <si>
    <t>2025.09.12 12:43:00</t>
  </si>
  <si>
    <t>MAESZ-2025-2606</t>
  </si>
  <si>
    <t>Szabóné Nagy Erzsébet</t>
  </si>
  <si>
    <t>2025.09.12 13:36:00</t>
  </si>
  <si>
    <t>MAESZ-2025-2605</t>
  </si>
  <si>
    <t>Németh Ildikó</t>
  </si>
  <si>
    <t>092675296</t>
  </si>
  <si>
    <t>2025.09.12 13:21:00</t>
  </si>
  <si>
    <t>MAESZ-2025-2607</t>
  </si>
  <si>
    <t>Kovács Éva</t>
  </si>
  <si>
    <t>064215714</t>
  </si>
  <si>
    <t>MAESZ-2025-2610</t>
  </si>
  <si>
    <t>Dr. Dormánné Makovics Márta</t>
  </si>
  <si>
    <t>076422414</t>
  </si>
  <si>
    <t>2025.09.13 11:06:00</t>
  </si>
  <si>
    <t>MAESZ-2025-2648</t>
  </si>
  <si>
    <t>Reichné Lehoczky Mária</t>
  </si>
  <si>
    <t>083423495</t>
  </si>
  <si>
    <t>2025.09.19 12:45:00</t>
  </si>
  <si>
    <t>MAESZ-2025-2652</t>
  </si>
  <si>
    <t>Török Anita</t>
  </si>
  <si>
    <t>083303409</t>
  </si>
  <si>
    <t>2025.09.19 13:11:00</t>
  </si>
  <si>
    <t>MAESZ-2025-2653</t>
  </si>
  <si>
    <t>Sallai Melinda</t>
  </si>
  <si>
    <t>082259509</t>
  </si>
  <si>
    <t>2025.09.19 13:13:00</t>
  </si>
  <si>
    <t>MAESZ-2025-2639</t>
  </si>
  <si>
    <t>Lázár-Pál Réka Bernadett</t>
  </si>
  <si>
    <t>2025.09.19 10:47:00</t>
  </si>
  <si>
    <t>MAESZ-2025-2640</t>
  </si>
  <si>
    <t>Gergelyné Csoma Boróka</t>
  </si>
  <si>
    <t>2025.09.19 10:49:00</t>
  </si>
  <si>
    <t>MAESZ-2025-2689</t>
  </si>
  <si>
    <t>Tóth Zsoltné</t>
  </si>
  <si>
    <t>090905104</t>
  </si>
  <si>
    <t>2025.09.22 10:19:00</t>
  </si>
  <si>
    <t>MAESZ-2025-2656</t>
  </si>
  <si>
    <t>Bálintné Balogh Mária</t>
  </si>
  <si>
    <t>072332645</t>
  </si>
  <si>
    <t>2025.09.19 14:34:00</t>
  </si>
  <si>
    <t>MAESZ-2025-2665</t>
  </si>
  <si>
    <t>Mozga-Kravecz Eszter</t>
  </si>
  <si>
    <t>090103726</t>
  </si>
  <si>
    <t>2025.09.20 10:48:00</t>
  </si>
  <si>
    <t>MAESZ-2025-2700</t>
  </si>
  <si>
    <t>Bazsó Edit</t>
  </si>
  <si>
    <t>091345372</t>
  </si>
  <si>
    <t>2025.09.23 07:54:00</t>
  </si>
  <si>
    <t>MAESZ-2025-2704</t>
  </si>
  <si>
    <t>Kisné Gergelyfi Beáta</t>
  </si>
  <si>
    <t>095740308</t>
  </si>
  <si>
    <t>2025.09.23 09:42:00</t>
  </si>
  <si>
    <t>MAESZ-2025-2487</t>
  </si>
  <si>
    <t>Kiss Evelin</t>
  </si>
  <si>
    <t>2025.09.02 09:39:00</t>
  </si>
  <si>
    <t>MAESZ-2025-2484</t>
  </si>
  <si>
    <t>Vasasné Sági Erika</t>
  </si>
  <si>
    <t>078786871</t>
  </si>
  <si>
    <t>2025.09.02 09:14:00</t>
  </si>
  <si>
    <t>MAESZ-2025-2485</t>
  </si>
  <si>
    <t>086048277</t>
  </si>
  <si>
    <t>2025.09.02 09:20:00</t>
  </si>
  <si>
    <t>HNG-2025-5503</t>
  </si>
  <si>
    <t>Nagyné Zab Krisztina</t>
  </si>
  <si>
    <t>085524299</t>
  </si>
  <si>
    <t>2025.09.02 08:48:00</t>
  </si>
  <si>
    <t>MAESZ-2025-2499</t>
  </si>
  <si>
    <t>Markóné Hosszu Katalin</t>
  </si>
  <si>
    <t>073423340</t>
  </si>
  <si>
    <t>MAESZ-2025-2495</t>
  </si>
  <si>
    <t>Ősz Tímea Kincső</t>
  </si>
  <si>
    <t>2025.09.02 12:53:00</t>
  </si>
  <si>
    <t>MAESZ-2025-2494</t>
  </si>
  <si>
    <t>Lalák Nikolett</t>
  </si>
  <si>
    <t>095787512</t>
  </si>
  <si>
    <t>2025.09.02 11:29:00</t>
  </si>
  <si>
    <t>MAESZ-2025-2497</t>
  </si>
  <si>
    <t>Kovács Zsuzsanna</t>
  </si>
  <si>
    <t>090115565</t>
  </si>
  <si>
    <t>2025.09.02 13:36:00</t>
  </si>
  <si>
    <t>MAESZ-2025-2521</t>
  </si>
  <si>
    <t>Bagladi Istvánné</t>
  </si>
  <si>
    <t>088192637</t>
  </si>
  <si>
    <t>2025.09.03 09:41:00</t>
  </si>
  <si>
    <t>MAESZ-2025-2510</t>
  </si>
  <si>
    <t>Hetesiné Horváth Renáta</t>
  </si>
  <si>
    <t>083704686</t>
  </si>
  <si>
    <t>2025.09.02 15:01:00</t>
  </si>
  <si>
    <t>MAESZ-2025-2507</t>
  </si>
  <si>
    <t>Sziné Horváth Beáta</t>
  </si>
  <si>
    <t>080056979</t>
  </si>
  <si>
    <t>MAESZ-2025-2512</t>
  </si>
  <si>
    <t>Pollár-Kránicz Renáta</t>
  </si>
  <si>
    <t>089746037</t>
  </si>
  <si>
    <t>2025.09.02 15:27:00</t>
  </si>
  <si>
    <t>MAESZ-2025-2539</t>
  </si>
  <si>
    <t>Salamon Krisztina</t>
  </si>
  <si>
    <t>078757013</t>
  </si>
  <si>
    <t>2025.09.03 13:52:00</t>
  </si>
  <si>
    <t>MAESZ-2025-2537</t>
  </si>
  <si>
    <t>2025.09.03 13:48:00</t>
  </si>
  <si>
    <t>MAESZ-2025-2538</t>
  </si>
  <si>
    <t>Trófár Nikolett</t>
  </si>
  <si>
    <t>091131858</t>
  </si>
  <si>
    <t>MAESZ-2025-2529</t>
  </si>
  <si>
    <t>Ninkó Jánosné</t>
  </si>
  <si>
    <t>070071131</t>
  </si>
  <si>
    <t>2025.09.03 11:10:00</t>
  </si>
  <si>
    <t>MAESZ-2025-2530</t>
  </si>
  <si>
    <t>Németh Ida</t>
  </si>
  <si>
    <t>078625446</t>
  </si>
  <si>
    <t>2025.09.03 11:22:00</t>
  </si>
  <si>
    <t>MAESZ-2025-2548</t>
  </si>
  <si>
    <t>Meszlényiné Szabó Judit</t>
  </si>
  <si>
    <t>075461344</t>
  </si>
  <si>
    <t>2025.09.03 15:21:00</t>
  </si>
  <si>
    <t>HNG-2025-5581</t>
  </si>
  <si>
    <t>Mátyásné Haraszti Szilvia</t>
  </si>
  <si>
    <t>079061159</t>
  </si>
  <si>
    <t>2025.09.03 15:31:00</t>
  </si>
  <si>
    <t>MAESZ-2025-2549</t>
  </si>
  <si>
    <t>Fleisch Edina</t>
  </si>
  <si>
    <t>085826531</t>
  </si>
  <si>
    <t>2025.09.03 15:37:00</t>
  </si>
  <si>
    <t>MAESZ-2025-2550</t>
  </si>
  <si>
    <t>Szabóné Fehér Hajnalka</t>
  </si>
  <si>
    <t>077678566</t>
  </si>
  <si>
    <t>2025.09.03 15:42:00</t>
  </si>
  <si>
    <t>MAESZ-2025-2597</t>
  </si>
  <si>
    <t>Szencziné Szilárd Gabriella</t>
  </si>
  <si>
    <t>074441716</t>
  </si>
  <si>
    <t>2025.09.12 09:43:00</t>
  </si>
  <si>
    <t>MAESZ-2025-2593</t>
  </si>
  <si>
    <t>Pávelné Arnóczki Erzsébet</t>
  </si>
  <si>
    <t>075073082</t>
  </si>
  <si>
    <t>2025.09.12 08:29:00</t>
  </si>
  <si>
    <t>MAESZ-2025-2599</t>
  </si>
  <si>
    <t>Puschenyák Edit</t>
  </si>
  <si>
    <t>075067568</t>
  </si>
  <si>
    <t>2025.09.12 10:39:00</t>
  </si>
  <si>
    <t>MAESZ-2025-2590</t>
  </si>
  <si>
    <t>Gurinné Tavaszi Henrietta</t>
  </si>
  <si>
    <t>083792830</t>
  </si>
  <si>
    <t>2025.09.08 14:33:00</t>
  </si>
  <si>
    <t>MAESZ-2025-2591</t>
  </si>
  <si>
    <t>Bata Henriett</t>
  </si>
  <si>
    <t>083926996</t>
  </si>
  <si>
    <t>2025.09.08 14:46:00</t>
  </si>
  <si>
    <t>MAESZ-2025-2558</t>
  </si>
  <si>
    <t>Mitzingerné Ripszám Edina</t>
  </si>
  <si>
    <t>086542603</t>
  </si>
  <si>
    <t>2025.09.05 09:45:00</t>
  </si>
  <si>
    <t>MAESZ-2025-2556</t>
  </si>
  <si>
    <t>Fenyvesi Gáborné</t>
  </si>
  <si>
    <t>078373941</t>
  </si>
  <si>
    <t>MAESZ-2025-2559</t>
  </si>
  <si>
    <t>Papp Mónika</t>
  </si>
  <si>
    <t>080282558</t>
  </si>
  <si>
    <t>2025.09.05 09:55:00</t>
  </si>
  <si>
    <t>MAESZ-2025-2562</t>
  </si>
  <si>
    <t>Zólyominé Szumár Hajnalka</t>
  </si>
  <si>
    <t>081027468</t>
  </si>
  <si>
    <t>2025.09.05 10:27:00</t>
  </si>
  <si>
    <t>MAESZ-2025-2554</t>
  </si>
  <si>
    <t>Horkay Tamásné</t>
  </si>
  <si>
    <t>079035880</t>
  </si>
  <si>
    <t>2025.09.04 13:35:00</t>
  </si>
  <si>
    <t>MAESZ-2025-2579</t>
  </si>
  <si>
    <t>Barányi Henriett</t>
  </si>
  <si>
    <t>079574017</t>
  </si>
  <si>
    <t>2025.09.08 10:40:00</t>
  </si>
  <si>
    <t>MAESZ-2025-2585</t>
  </si>
  <si>
    <t>Máté Eszter</t>
  </si>
  <si>
    <t>088077866</t>
  </si>
  <si>
    <t>2025.09.08 11:37:00</t>
  </si>
  <si>
    <t>MAESZ-2025-2587</t>
  </si>
  <si>
    <t>Krischneiderné Hágelmayer Anett</t>
  </si>
  <si>
    <t>083281361</t>
  </si>
  <si>
    <t>2025.09.08 14:06:00</t>
  </si>
  <si>
    <t>MAESZ-2025-2571</t>
  </si>
  <si>
    <t>Wáryné Világi Hajnalka</t>
  </si>
  <si>
    <t>087077959</t>
  </si>
  <si>
    <t>2025.09.08 09:54:00</t>
  </si>
  <si>
    <t>MAESZ-2025-2578</t>
  </si>
  <si>
    <t>Rappold Viktória</t>
  </si>
  <si>
    <t>082981549</t>
  </si>
  <si>
    <t>MAESZ-2025-2573</t>
  </si>
  <si>
    <t>Markia- Kukucska Kornélia</t>
  </si>
  <si>
    <t>088041645</t>
  </si>
  <si>
    <t>2025.09.08 09:56:00</t>
  </si>
  <si>
    <t>MAESZ-2025-2566</t>
  </si>
  <si>
    <t>Nikicser Ildikó</t>
  </si>
  <si>
    <t>073265775</t>
  </si>
  <si>
    <t>2025.09.05 14:55:00</t>
  </si>
  <si>
    <t>MAESZ-2025-2567</t>
  </si>
  <si>
    <t>084452012</t>
  </si>
  <si>
    <t>2025.09.08 07:59:00</t>
  </si>
  <si>
    <t>MÁESZ - 25 - Női változás csomag</t>
  </si>
  <si>
    <t>MÁESZ - 25 - Follikuláris fázis csomag</t>
  </si>
  <si>
    <t>HNG-2025-5962</t>
  </si>
  <si>
    <t>Kászonyi Péter</t>
  </si>
  <si>
    <t>029115271</t>
  </si>
  <si>
    <t>2025.09.24 09:51:00</t>
  </si>
  <si>
    <t>Menedzserszűrés</t>
  </si>
  <si>
    <t>MAESZ-2025-2722</t>
  </si>
  <si>
    <t>Györfi Richárd</t>
  </si>
  <si>
    <t>2025.09.25 08:26:00</t>
  </si>
  <si>
    <t>MÁESZ - 25 - Cöliákia (Glutén) genetika</t>
  </si>
  <si>
    <t>MAESZ-2025-2721</t>
  </si>
  <si>
    <t>083389515</t>
  </si>
  <si>
    <t>2025.09.24 11:35:00</t>
  </si>
  <si>
    <t>MAESZ-2025-2692</t>
  </si>
  <si>
    <t>Kálmán Alina</t>
  </si>
  <si>
    <t>2025.09.22 12:58:00</t>
  </si>
  <si>
    <t>MAESZ-2025-2672</t>
  </si>
  <si>
    <t>Darabont Viola</t>
  </si>
  <si>
    <t>093410962</t>
  </si>
  <si>
    <t>2025.09.20 14:03:00</t>
  </si>
  <si>
    <t>MAESZ-2025-2531</t>
  </si>
  <si>
    <t>Göncz Edina Katalin</t>
  </si>
  <si>
    <t>090513473</t>
  </si>
  <si>
    <t>2025.09.03 11:37:00</t>
  </si>
  <si>
    <t>MAESZ-2025-2502</t>
  </si>
  <si>
    <t>Hanzel Balázs</t>
  </si>
  <si>
    <t>043717929</t>
  </si>
  <si>
    <t>2025.09.02 14:09:00</t>
  </si>
  <si>
    <t>MÁESZ - 25 - Laktózintolerancia (tejcukor érzékenység) genetika</t>
  </si>
  <si>
    <t>MAESZ-2025-2589</t>
  </si>
  <si>
    <t>Kiss István</t>
  </si>
  <si>
    <t>2025.09.08 14:29:00</t>
  </si>
  <si>
    <t>MAESZ-2025-2595</t>
  </si>
  <si>
    <t>Kurdi Győző</t>
  </si>
  <si>
    <t>2025.09.12 09:06:00</t>
  </si>
  <si>
    <t>MAESZ-2025-2662</t>
  </si>
  <si>
    <t>Bíró Ariella</t>
  </si>
  <si>
    <t>085382055</t>
  </si>
  <si>
    <t>2025.09.20 09:17:00</t>
  </si>
  <si>
    <t>JASZ-2025-206</t>
  </si>
  <si>
    <t>2025.09.13 15:08:00</t>
  </si>
  <si>
    <t>MAESZ-2025-2751</t>
  </si>
  <si>
    <t>Albert Zsófia</t>
  </si>
  <si>
    <t>2025.09.25 14:42:00</t>
  </si>
  <si>
    <t>MAESZ-2025-2770</t>
  </si>
  <si>
    <t>Veróczki Ildikó</t>
  </si>
  <si>
    <t>070788620</t>
  </si>
  <si>
    <t>2025.09.27 09:10:00</t>
  </si>
  <si>
    <t>MAESZ-2025-2798</t>
  </si>
  <si>
    <t>Lovkovics Patrik</t>
  </si>
  <si>
    <t>2025.09.29 08:25:00</t>
  </si>
  <si>
    <t>MAESZ-2025-2845</t>
  </si>
  <si>
    <t>Vass Mónika</t>
  </si>
  <si>
    <t>2025.09.30 09:57:00</t>
  </si>
  <si>
    <t>MÁESZ - 25 - Leiden mutáció genetika</t>
  </si>
  <si>
    <t>MAESZ-2025-2825</t>
  </si>
  <si>
    <t>Kórós Fanni Alexa</t>
  </si>
  <si>
    <t>2025.09.29 13:39:00</t>
  </si>
  <si>
    <t>MAESZ-2025-2756</t>
  </si>
  <si>
    <t>2025.09.26 08:00:00</t>
  </si>
  <si>
    <t>MÁESZ - 25 - Labor kiértékelés</t>
  </si>
  <si>
    <t>HNG-2025-5625</t>
  </si>
  <si>
    <t>2025.09.05 14:09:00</t>
  </si>
  <si>
    <t>Ortopédia vizsgálat</t>
  </si>
  <si>
    <t>HNG-2025-5469</t>
  </si>
  <si>
    <t>Csákvári Mária Dr.</t>
  </si>
  <si>
    <t>076024276</t>
  </si>
  <si>
    <t>2025.09.01 09:07:00</t>
  </si>
  <si>
    <t>Inzulin</t>
  </si>
  <si>
    <t>ALDI-2025-39</t>
  </si>
  <si>
    <t>Hajnal Szilvia</t>
  </si>
  <si>
    <t>081169832</t>
  </si>
  <si>
    <t>JASZ-2025-267</t>
  </si>
  <si>
    <t>Dakó Henriett</t>
  </si>
  <si>
    <t>080994499</t>
  </si>
  <si>
    <t>2025.09.26 11:20:00</t>
  </si>
  <si>
    <t>Bőrgyógyászati szakorvosi első konzultáció 2025</t>
  </si>
  <si>
    <t>JASZ-2025-268</t>
  </si>
  <si>
    <t>Pálfi Tamás Bence</t>
  </si>
  <si>
    <t>2025.09.26 11:51:00</t>
  </si>
  <si>
    <t>JASZ-2025-279</t>
  </si>
  <si>
    <t>Lakatos Zsanett Gabriella</t>
  </si>
  <si>
    <t>089975837</t>
  </si>
  <si>
    <t>2025.09.29 13:57:00</t>
  </si>
  <si>
    <t>HNG-2025-6033</t>
  </si>
  <si>
    <t>Berkes Mátyás</t>
  </si>
  <si>
    <t>019906793</t>
  </si>
  <si>
    <t>2025.09.29 11:11:00</t>
  </si>
  <si>
    <t>HNG-2025-6038</t>
  </si>
  <si>
    <t>Becze-Hajnal Vanessza</t>
  </si>
  <si>
    <t>2025.09.29 12:28:00</t>
  </si>
  <si>
    <t>HNG-2025-6041</t>
  </si>
  <si>
    <t>Lytvyienko Tetiana</t>
  </si>
  <si>
    <t>2025.09.29 14:55:00</t>
  </si>
  <si>
    <t>JASZ-2025-274</t>
  </si>
  <si>
    <t>Patainé Bósza Nikolett</t>
  </si>
  <si>
    <t>078739509</t>
  </si>
  <si>
    <t>HNG-2025-6031</t>
  </si>
  <si>
    <t>Parragi Ádám</t>
  </si>
  <si>
    <t>043560206</t>
  </si>
  <si>
    <t>2025.09.29 10:57:00</t>
  </si>
  <si>
    <t>JASZ-2025-252</t>
  </si>
  <si>
    <t>Németh Johanna Abigél</t>
  </si>
  <si>
    <t>2025.09.22 14:10:00</t>
  </si>
  <si>
    <t>JASZ-2025-253</t>
  </si>
  <si>
    <t>Kristin Csilla</t>
  </si>
  <si>
    <t>080694515</t>
  </si>
  <si>
    <t>2025.09.24 09:01:00</t>
  </si>
  <si>
    <t>JASZ-2025-232</t>
  </si>
  <si>
    <t>Helmeczi Zoltán</t>
  </si>
  <si>
    <t>041080665</t>
  </si>
  <si>
    <t>JASZ-2025-234</t>
  </si>
  <si>
    <t>Sári Istvánné</t>
  </si>
  <si>
    <t>068623469</t>
  </si>
  <si>
    <t>2025.09.22 09:49:00</t>
  </si>
  <si>
    <t>JASZ-2025-235</t>
  </si>
  <si>
    <t>Sári István</t>
  </si>
  <si>
    <t>019281858</t>
  </si>
  <si>
    <t>2025.09.22 09:50:00</t>
  </si>
  <si>
    <t>JASZ-2025-242</t>
  </si>
  <si>
    <t>Gáncs Andrea</t>
  </si>
  <si>
    <t>075327938</t>
  </si>
  <si>
    <t>2025.09.22 11:28:00</t>
  </si>
  <si>
    <t>JASZ-2025-247</t>
  </si>
  <si>
    <t>Zemlényi Zsombor</t>
  </si>
  <si>
    <t>2025.09.22 12:44:00</t>
  </si>
  <si>
    <t>JASZ-2025-248</t>
  </si>
  <si>
    <t>Szobrász Hanna</t>
  </si>
  <si>
    <t>2025.09.22 12:49:00</t>
  </si>
  <si>
    <t>JASZ-2025-244</t>
  </si>
  <si>
    <t>Zsiga Andrea</t>
  </si>
  <si>
    <t>2025.09.22 12:07:00</t>
  </si>
  <si>
    <t>JASZ-2025-245</t>
  </si>
  <si>
    <t>Kurucz Istvanne</t>
  </si>
  <si>
    <t>074008007</t>
  </si>
  <si>
    <t>2025.09.22 12:17:00</t>
  </si>
  <si>
    <t>JASZ-2025-226</t>
  </si>
  <si>
    <t>2025.09.19 13:29:00</t>
  </si>
  <si>
    <t>JASZ-2025-227</t>
  </si>
  <si>
    <t>Farkas Erzsébet</t>
  </si>
  <si>
    <t>073793775</t>
  </si>
  <si>
    <t>JASZ-2025-225</t>
  </si>
  <si>
    <t>Esztergályos Beáta</t>
  </si>
  <si>
    <t>081368372</t>
  </si>
  <si>
    <t>2025.09.19 12:10:00</t>
  </si>
  <si>
    <t>JASZ-2025-221</t>
  </si>
  <si>
    <t>Turai Marcell Mihály</t>
  </si>
  <si>
    <t>2025.09.17 09:41:00</t>
  </si>
  <si>
    <t>JASZ-2025-220</t>
  </si>
  <si>
    <t>Turai Szabolcs</t>
  </si>
  <si>
    <t>037332934</t>
  </si>
  <si>
    <t>JASZ-2025-219</t>
  </si>
  <si>
    <t>Turai-Kajári Zita</t>
  </si>
  <si>
    <t>086923822</t>
  </si>
  <si>
    <t>HNG-2025-5863</t>
  </si>
  <si>
    <t>Antal Balázs</t>
  </si>
  <si>
    <t>035416377</t>
  </si>
  <si>
    <t>2025.09.17 11:28:00</t>
  </si>
  <si>
    <t>HNG-2025-5866</t>
  </si>
  <si>
    <t>Menczel Emma</t>
  </si>
  <si>
    <t>2025.09.17 12:22:00</t>
  </si>
  <si>
    <t>HNG-2025-5774</t>
  </si>
  <si>
    <t>Szihalmi Zsófia Lídia</t>
  </si>
  <si>
    <t>090345788</t>
  </si>
  <si>
    <t>2025.09.12 11:20:00</t>
  </si>
  <si>
    <t>HNG-2025-5786</t>
  </si>
  <si>
    <t>Huszár Zita Dr.</t>
  </si>
  <si>
    <t>076791615</t>
  </si>
  <si>
    <t>2025.09.12 14:14:00</t>
  </si>
  <si>
    <t>JASZ-2025-213</t>
  </si>
  <si>
    <t>Reubens Jonathan</t>
  </si>
  <si>
    <t>JASZ-2025-212</t>
  </si>
  <si>
    <t>Sziráki Judit Irén</t>
  </si>
  <si>
    <t>069609619</t>
  </si>
  <si>
    <t>HNG-2025-5821</t>
  </si>
  <si>
    <t>Jakab Endréné</t>
  </si>
  <si>
    <t>070125038</t>
  </si>
  <si>
    <t>2025.09.15 11:37:00</t>
  </si>
  <si>
    <t>HNG-2025-5799</t>
  </si>
  <si>
    <t>Rimai Laura</t>
  </si>
  <si>
    <t>095529631</t>
  </si>
  <si>
    <t>2025.09.15 09:10:00</t>
  </si>
  <si>
    <t>JASZ-2025-211</t>
  </si>
  <si>
    <t>Palugyai Jázmin</t>
  </si>
  <si>
    <t>2025.09.15 10:11:00</t>
  </si>
  <si>
    <t>HNG-2025-5479</t>
  </si>
  <si>
    <t>Horváth Regina Bianka</t>
  </si>
  <si>
    <t>2025.09.01 11:37:00</t>
  </si>
  <si>
    <t>HNG-2025-5483</t>
  </si>
  <si>
    <t>Varga Veronika</t>
  </si>
  <si>
    <t>2025.09.01 12:28:00</t>
  </si>
  <si>
    <t>HNG-2025-5484</t>
  </si>
  <si>
    <t>Nagy László</t>
  </si>
  <si>
    <t>037365013</t>
  </si>
  <si>
    <t>2025.09.01 12:38:00</t>
  </si>
  <si>
    <t>JASZ-2025-182</t>
  </si>
  <si>
    <t>Ecseri Istvánné</t>
  </si>
  <si>
    <t>2025.09.01 12:46:00</t>
  </si>
  <si>
    <t>HNG-2025-5482</t>
  </si>
  <si>
    <t>2025.09.01 12:22:00</t>
  </si>
  <si>
    <t>HNG-2025-5568</t>
  </si>
  <si>
    <t>Rigó Barnabás</t>
  </si>
  <si>
    <t>045395673</t>
  </si>
  <si>
    <t>2025.09.03 11:27:00</t>
  </si>
  <si>
    <t>HNG-2025-5576</t>
  </si>
  <si>
    <t>Sándor Beáta</t>
  </si>
  <si>
    <t>087944385</t>
  </si>
  <si>
    <t>2025.09.03 13:57:00</t>
  </si>
  <si>
    <t>HNG-2025-5647</t>
  </si>
  <si>
    <t>Győri Ferenc</t>
  </si>
  <si>
    <t>2025.09.08 11:52:00</t>
  </si>
  <si>
    <t>HNG-2025-5648</t>
  </si>
  <si>
    <t>Pintér Bulcsú</t>
  </si>
  <si>
    <t>2025.09.08 12:30:00</t>
  </si>
  <si>
    <t>HNG-2025-5650</t>
  </si>
  <si>
    <t>Gávay-Brányi Alexandra</t>
  </si>
  <si>
    <t>088596303</t>
  </si>
  <si>
    <t>2025.09.08 13:00:00</t>
  </si>
  <si>
    <t>HNG-2025-5651</t>
  </si>
  <si>
    <t>Kerti Ilona</t>
  </si>
  <si>
    <t>086147019</t>
  </si>
  <si>
    <t>2025.09.08 13:20:00</t>
  </si>
  <si>
    <t>HNG-2025-5645</t>
  </si>
  <si>
    <t>Berényi Gábor</t>
  </si>
  <si>
    <t>026552367</t>
  </si>
  <si>
    <t>JASZ-2025-198</t>
  </si>
  <si>
    <t>Dénes Tomanová Petra</t>
  </si>
  <si>
    <t>2025.09.05 09:06:00</t>
  </si>
  <si>
    <t>HNG-2025-5611</t>
  </si>
  <si>
    <t>Oszlánszki Tiborné</t>
  </si>
  <si>
    <t>064423614</t>
  </si>
  <si>
    <t>2025.09.05 09:28:00</t>
  </si>
  <si>
    <t>HNG-2025-5754</t>
  </si>
  <si>
    <t>Gyarmati-Nagy Judit</t>
  </si>
  <si>
    <t>090969162</t>
  </si>
  <si>
    <t>2025.09.12 09:17:00</t>
  </si>
  <si>
    <t>HNG-2025-5765</t>
  </si>
  <si>
    <t>KIRSCH GYULA</t>
  </si>
  <si>
    <t>018639397</t>
  </si>
  <si>
    <t>2025.09.12 10:34:00</t>
  </si>
  <si>
    <t>HNG-2025-5769</t>
  </si>
  <si>
    <t>Klein Ferenc</t>
  </si>
  <si>
    <t>042813334</t>
  </si>
  <si>
    <t>2025.09.12 10:50:00</t>
  </si>
  <si>
    <t>Bőrgyógyászati kontroll vizsgálat (3 hónapon belül) 2025</t>
  </si>
  <si>
    <t>HNG-2025-5700</t>
  </si>
  <si>
    <t>Monostori Tibor</t>
  </si>
  <si>
    <t>019000224</t>
  </si>
  <si>
    <t>2025.09.10 08:01:00</t>
  </si>
  <si>
    <t>HNG-2025-5639</t>
  </si>
  <si>
    <t>Salánki Samu Soma</t>
  </si>
  <si>
    <t>2025.09.08 10:29:00</t>
  </si>
  <si>
    <t>HNG-2025-5646</t>
  </si>
  <si>
    <t>Kardos Gábor</t>
  </si>
  <si>
    <t>030175138</t>
  </si>
  <si>
    <t>2025.09.08 11:45:00</t>
  </si>
  <si>
    <t>JASZ-2025-181</t>
  </si>
  <si>
    <t>Teonic Láná</t>
  </si>
  <si>
    <t>HNG-2025-5475</t>
  </si>
  <si>
    <t>Dancsóné Szegvári Gabriella</t>
  </si>
  <si>
    <t>070562192</t>
  </si>
  <si>
    <t>2025.09.01 10:44:00</t>
  </si>
  <si>
    <t>JASZ-2025-179</t>
  </si>
  <si>
    <t>Hunvald András</t>
  </si>
  <si>
    <t>2025.09.01 12:04:00</t>
  </si>
  <si>
    <t>JASZ-2025-183</t>
  </si>
  <si>
    <t>Bencsik László</t>
  </si>
  <si>
    <t>044214256</t>
  </si>
  <si>
    <t>2025.09.01 12:59:00</t>
  </si>
  <si>
    <t>HNG-2025-5808</t>
  </si>
  <si>
    <t>P. Szabó Melinda</t>
  </si>
  <si>
    <t>073882150</t>
  </si>
  <si>
    <t>2025.09.15 09:57:00</t>
  </si>
  <si>
    <t>JASZ-2025-210</t>
  </si>
  <si>
    <t>Sike Enikő</t>
  </si>
  <si>
    <t>094506473</t>
  </si>
  <si>
    <t>2025.09.15 09:47:00</t>
  </si>
  <si>
    <t>JASZ-2025-214</t>
  </si>
  <si>
    <t>Gerő Luca</t>
  </si>
  <si>
    <t>093516617</t>
  </si>
  <si>
    <t>2025.09.15 13:28:00</t>
  </si>
  <si>
    <t>JASZ-2025-249</t>
  </si>
  <si>
    <t>Szobrász Borbála</t>
  </si>
  <si>
    <t>JASZ-2025-243</t>
  </si>
  <si>
    <t>036191505</t>
  </si>
  <si>
    <t>2025.09.22 11:58:00</t>
  </si>
  <si>
    <t>JASZ-2025-278</t>
  </si>
  <si>
    <t>Vasvári Andrea Zsuzsanna</t>
  </si>
  <si>
    <t>076226858</t>
  </si>
  <si>
    <t>2025.09.29 13:31:00</t>
  </si>
  <si>
    <t>HNG-2025-6034</t>
  </si>
  <si>
    <t>Vitányi Olívia</t>
  </si>
  <si>
    <t>2025.09.29 11:15:00</t>
  </si>
  <si>
    <t>Gyermek bőrgyógyászati szakorvosi első konzultáció 2025</t>
  </si>
  <si>
    <t>HNG-2025-6022</t>
  </si>
  <si>
    <t>Németh Emma Dóra</t>
  </si>
  <si>
    <t>2025.09.29 08:55:00</t>
  </si>
  <si>
    <t>JASZ-2025-269</t>
  </si>
  <si>
    <t>Szkita Hunor</t>
  </si>
  <si>
    <t>2025.09.26 12:40:00</t>
  </si>
  <si>
    <t>JASZ-2025-266</t>
  </si>
  <si>
    <t>Gajdátsy Boróka</t>
  </si>
  <si>
    <t>HNG-2025-6019</t>
  </si>
  <si>
    <t>Szász Domonkos</t>
  </si>
  <si>
    <t>2025.09.26 13:55:00</t>
  </si>
  <si>
    <t>JASZ-2025-261</t>
  </si>
  <si>
    <t>Nikischer Anna Luca</t>
  </si>
  <si>
    <t>2025.09.24 12:42:00</t>
  </si>
  <si>
    <t>JASZ-2025-250</t>
  </si>
  <si>
    <t>Varga Vilmos</t>
  </si>
  <si>
    <t>HNG-2025-5826</t>
  </si>
  <si>
    <t>Zilai Benjámin</t>
  </si>
  <si>
    <t>2025.09.15 12:45:00</t>
  </si>
  <si>
    <t>HNG-2025-5912</t>
  </si>
  <si>
    <t>Sinkó Gréta</t>
  </si>
  <si>
    <t>2025.09.19 12:38:00</t>
  </si>
  <si>
    <t>HNG-2025-5557</t>
  </si>
  <si>
    <t>Lengyel Zsófia Sára</t>
  </si>
  <si>
    <t>HNG-2025-5654</t>
  </si>
  <si>
    <t>Vass Richárd Fülöp</t>
  </si>
  <si>
    <t>2025.09.08 13:58:00</t>
  </si>
  <si>
    <t>HNG-2025-5716</t>
  </si>
  <si>
    <t>Bakó Vince</t>
  </si>
  <si>
    <t>2025.09.10 12:39:00</t>
  </si>
  <si>
    <t>HNG-2025-5719</t>
  </si>
  <si>
    <t>Kovács Alíz</t>
  </si>
  <si>
    <t>2025.09.10 14:03:00</t>
  </si>
  <si>
    <t>HNG-2025-5638</t>
  </si>
  <si>
    <t>Sájer Bence</t>
  </si>
  <si>
    <t>2025.09.08 10:08:00</t>
  </si>
  <si>
    <t>Gyermek bőrgyógyászati kontroll vizsgálat (3 hónapon belül) 2025</t>
  </si>
  <si>
    <t>HNG-2025-6001</t>
  </si>
  <si>
    <t>Eszes Valter Krisztián</t>
  </si>
  <si>
    <t>MÁESZ - 25 - Tejfehérje allergia csomag</t>
  </si>
  <si>
    <t>Abesse - 25 - E2 - Endokrin - Pajzsmirigy bővített csomag</t>
  </si>
  <si>
    <t>MAESZ-2025-2676</t>
  </si>
  <si>
    <t>Biró Krisztina</t>
  </si>
  <si>
    <t>2025.09.22 08:11:00</t>
  </si>
  <si>
    <t>MÁESZ - 26 - Laborcsomag bontott</t>
  </si>
  <si>
    <t>MAESZ-2025-2677</t>
  </si>
  <si>
    <t>MAESZ-2025-2694</t>
  </si>
  <si>
    <t>Varga Csilla Erika</t>
  </si>
  <si>
    <t>091072434</t>
  </si>
  <si>
    <t>2025.09.22 13:24:00</t>
  </si>
  <si>
    <t>MAESZ-2025-2695</t>
  </si>
  <si>
    <t>2025.09.22 13:28:00</t>
  </si>
  <si>
    <t>IgA</t>
  </si>
  <si>
    <t>IgG</t>
  </si>
  <si>
    <t>HNG-2025-5819</t>
  </si>
  <si>
    <t>Antoniewicz Péter</t>
  </si>
  <si>
    <t>031734361</t>
  </si>
  <si>
    <t>2025.09.15 11:26:00</t>
  </si>
  <si>
    <t>Vércsoport és ellenanyagszűrés</t>
  </si>
  <si>
    <t>Glükóz (reggeli előtt)</t>
  </si>
  <si>
    <t>Glükóz-plazmából</t>
  </si>
  <si>
    <t>MAESZ-2025-2618</t>
  </si>
  <si>
    <t>Győri Gábor</t>
  </si>
  <si>
    <t>036899562</t>
  </si>
  <si>
    <t>2025.09.13 15:19:00</t>
  </si>
  <si>
    <t>Complex Nagylabor + PSA (férfiak részére)</t>
  </si>
  <si>
    <t>MAESZ-2025-2734</t>
  </si>
  <si>
    <t>Kristóf Áron</t>
  </si>
  <si>
    <t>043192407</t>
  </si>
  <si>
    <t>Dual Extended - Nagylabor + Teljes férfi tumorpanel (férfiak részére)</t>
  </si>
  <si>
    <t>MAESZ-2025-2729</t>
  </si>
  <si>
    <t>Dóczi-Varga Tímea</t>
  </si>
  <si>
    <t>084577670</t>
  </si>
  <si>
    <t>2025.09.25 10:12:00</t>
  </si>
  <si>
    <t>E1 - Endokrin - Pajzsmirigy bázis csomag</t>
  </si>
  <si>
    <t>HNG-2025-5883</t>
  </si>
  <si>
    <t>Szikszó Tímea</t>
  </si>
  <si>
    <t>094500952</t>
  </si>
  <si>
    <t>2025.09.18 11:38:00</t>
  </si>
  <si>
    <t>HNG-2025-5969</t>
  </si>
  <si>
    <t>Gyulafalvi Edith Dr.</t>
  </si>
  <si>
    <t>083891067</t>
  </si>
  <si>
    <t>2025.09.24 12:00:00</t>
  </si>
  <si>
    <t>HNG-2025-5745</t>
  </si>
  <si>
    <t>Csordás Csenge Anna</t>
  </si>
  <si>
    <t>092679108</t>
  </si>
  <si>
    <t>E2 - Endokrin - Pajzsmirigy bővített csomag</t>
  </si>
  <si>
    <t>HNG-2025-5669</t>
  </si>
  <si>
    <t>Baráné Erdős Margit</t>
  </si>
  <si>
    <t>072467701</t>
  </si>
  <si>
    <t>2025.09.09 08:52:00</t>
  </si>
  <si>
    <t>HNG-2025-5672</t>
  </si>
  <si>
    <t>Ézsiás Anikó</t>
  </si>
  <si>
    <t>082880349</t>
  </si>
  <si>
    <t>2025.09.09 09:32:00</t>
  </si>
  <si>
    <t>MAESZ-2025-2781</t>
  </si>
  <si>
    <t>Kérdö Ágnes</t>
  </si>
  <si>
    <t>079501077</t>
  </si>
  <si>
    <t>2025.09.28 09:44:00</t>
  </si>
  <si>
    <t>E3 - Endokrin - Pajzsmirigy komplex csomag</t>
  </si>
  <si>
    <t>HNG-2025-5474</t>
  </si>
  <si>
    <t>Papp Zsuzsanna Dr.</t>
  </si>
  <si>
    <t>081085527</t>
  </si>
  <si>
    <t>2025.09.01 10:42:00</t>
  </si>
  <si>
    <t>HNG-2025-5886</t>
  </si>
  <si>
    <t>Várnainé Ilcsik Marietta</t>
  </si>
  <si>
    <t>079455530</t>
  </si>
  <si>
    <t>2025.09.18 13:39:00</t>
  </si>
  <si>
    <t>HNG-2025-5544</t>
  </si>
  <si>
    <t>Kuszinger Soma</t>
  </si>
  <si>
    <t>2025.09.03 07:16:00</t>
  </si>
  <si>
    <t>Szemészeti szakvizsgálat</t>
  </si>
  <si>
    <t>HNG-2025-5643</t>
  </si>
  <si>
    <t>Fodor Ibolya</t>
  </si>
  <si>
    <t>078940778</t>
  </si>
  <si>
    <t>2025.09.08 11:15:00</t>
  </si>
  <si>
    <t>Jogosítvány</t>
  </si>
  <si>
    <t>ALDI-2025-9</t>
  </si>
  <si>
    <t>Kapás Krisztián</t>
  </si>
  <si>
    <t>2025.09.30 07:04:00</t>
  </si>
  <si>
    <t>ALDI-Complex nagylabor férfiak részére</t>
  </si>
  <si>
    <t>ALDI-2025-36</t>
  </si>
  <si>
    <t>Terék György</t>
  </si>
  <si>
    <t>039566591</t>
  </si>
  <si>
    <t>ALDI-2025-22</t>
  </si>
  <si>
    <t>Iványi Roland</t>
  </si>
  <si>
    <t>2025.09.30 07:48:00</t>
  </si>
  <si>
    <t>HNG-2025-6048</t>
  </si>
  <si>
    <t>Hidegkuty Bence</t>
  </si>
  <si>
    <t>ALDI-2025-53</t>
  </si>
  <si>
    <t>Józsa Krisztián László</t>
  </si>
  <si>
    <t>2025.09.30 14:12:00</t>
  </si>
  <si>
    <t>ALDI-2025-52</t>
  </si>
  <si>
    <t>Hederics Levente</t>
  </si>
  <si>
    <t>2025.09.30 13:49:00</t>
  </si>
  <si>
    <t>ALDI-2025-49</t>
  </si>
  <si>
    <t>Sziráki Tamás István</t>
  </si>
  <si>
    <t>037411945</t>
  </si>
  <si>
    <t>2025.09.30 13:43:00</t>
  </si>
  <si>
    <t>ALDI-Complex nagylabor nők részére</t>
  </si>
  <si>
    <t>ALDI-2025-12</t>
  </si>
  <si>
    <t>Pekács Bettina</t>
  </si>
  <si>
    <t>091222392</t>
  </si>
  <si>
    <t>2025.09.30 07:12:00</t>
  </si>
  <si>
    <t>ALDI-2025-35</t>
  </si>
  <si>
    <t>Póta Andrea</t>
  </si>
  <si>
    <t>087845660</t>
  </si>
  <si>
    <t>HNG-2025-6058</t>
  </si>
  <si>
    <t>Maros Anikó</t>
  </si>
  <si>
    <t>086483674</t>
  </si>
  <si>
    <t>2025.09.30 10:00:00</t>
  </si>
  <si>
    <t>ALDI-Balance Tumormarker csomag nők részére</t>
  </si>
  <si>
    <t>HNG-2025-6064</t>
  </si>
  <si>
    <t>2025.09.30 11:11:00</t>
  </si>
  <si>
    <t>ALDI-2025-44</t>
  </si>
  <si>
    <t>Szováti Enikő</t>
  </si>
  <si>
    <t>080973393</t>
  </si>
  <si>
    <t>2025.09.30 12:47:00</t>
  </si>
  <si>
    <t>HNG-2025-6047</t>
  </si>
  <si>
    <t>Gyikó Sofianne</t>
  </si>
  <si>
    <t>2025.09.30 07:35:00</t>
  </si>
  <si>
    <t>ALDI-Dual Extended nagylabor nők részére</t>
  </si>
  <si>
    <t>ALDI-2025-24</t>
  </si>
  <si>
    <t>085817205</t>
  </si>
  <si>
    <t>2025.09.30 07:56:00</t>
  </si>
  <si>
    <t>ALDI-2025-4</t>
  </si>
  <si>
    <t>Pach Ágnes</t>
  </si>
  <si>
    <t>090166859</t>
  </si>
  <si>
    <t>2025.09.30 06:29:00</t>
  </si>
  <si>
    <t>ALDI-2025-11</t>
  </si>
  <si>
    <t>Németh Balázs István</t>
  </si>
  <si>
    <t>041933846</t>
  </si>
  <si>
    <t>2025.09.30 07:10:00</t>
  </si>
  <si>
    <t>ALDI-Dual Extended nagylabor férfiak részére</t>
  </si>
  <si>
    <t>ALDI-2025-2</t>
  </si>
  <si>
    <t>Suplicz Tamás</t>
  </si>
  <si>
    <t>032974858</t>
  </si>
  <si>
    <t>2025.09.30 06:17:00</t>
  </si>
  <si>
    <t>ALDI-2025-18</t>
  </si>
  <si>
    <t>Horváth Sándor Zsolt</t>
  </si>
  <si>
    <t>ALDI-2025-13</t>
  </si>
  <si>
    <t>Ozsváth Norbert</t>
  </si>
  <si>
    <t>041581557</t>
  </si>
  <si>
    <t>2025.09.30 07:16:00</t>
  </si>
  <si>
    <t>ALDI-2025-33</t>
  </si>
  <si>
    <t>Csépány Bálint Amadé Dr.</t>
  </si>
  <si>
    <t>045024636</t>
  </si>
  <si>
    <t>2025.09.30 10:02:00</t>
  </si>
  <si>
    <t>ALDI-2025-42</t>
  </si>
  <si>
    <t>Somogyi Olivér Pál</t>
  </si>
  <si>
    <t>ALDI-2025-51</t>
  </si>
  <si>
    <t>Popják Dániel</t>
  </si>
  <si>
    <t>043464207</t>
  </si>
  <si>
    <t>2025.09.30 13:48:00</t>
  </si>
  <si>
    <t>ALDI-2025-54</t>
  </si>
  <si>
    <t>Váli Zoltán István</t>
  </si>
  <si>
    <t>095030612</t>
  </si>
  <si>
    <t>2025.09.30 14:32:00</t>
  </si>
  <si>
    <t>ALDI-2025-10</t>
  </si>
  <si>
    <t>Rátky Benedek</t>
  </si>
  <si>
    <t>039432528</t>
  </si>
  <si>
    <t>2025.09.30 07:07:00</t>
  </si>
  <si>
    <t>ALDI- Forsight-Egészség 45+ férfiak részére</t>
  </si>
  <si>
    <t>ALDI-2025-50</t>
  </si>
  <si>
    <t>Gondos Szilvia</t>
  </si>
  <si>
    <t>082993979</t>
  </si>
  <si>
    <t>2025.09.30 13:46:00</t>
  </si>
  <si>
    <t>ALDI- Forsight-Egészség 45+ nők részére</t>
  </si>
  <si>
    <t>ALDI-2025-40</t>
  </si>
  <si>
    <t>Hajas Martina</t>
  </si>
  <si>
    <t>091074524</t>
  </si>
  <si>
    <t>2025.09.30 12:08:00</t>
  </si>
  <si>
    <t>ALDI-2025-34</t>
  </si>
  <si>
    <t>Illésné Gábor Anett</t>
  </si>
  <si>
    <t>084713537</t>
  </si>
  <si>
    <t>2025.09.30 10:06:00</t>
  </si>
  <si>
    <t>ALDI-2025-14</t>
  </si>
  <si>
    <t>2025.09.30 07:19:00</t>
  </si>
  <si>
    <t>ALDI-General-Törődés férfiak részére</t>
  </si>
  <si>
    <t>ALDI-2025-15</t>
  </si>
  <si>
    <t>2025.09.30 07:21:00</t>
  </si>
  <si>
    <t>ALDI-2025-16</t>
  </si>
  <si>
    <t>044086343</t>
  </si>
  <si>
    <t>ALDI-2025-19</t>
  </si>
  <si>
    <t>Katona János</t>
  </si>
  <si>
    <t>041256882</t>
  </si>
  <si>
    <t>2025.09.30 07:41:00</t>
  </si>
  <si>
    <t>ALDI-2025-55</t>
  </si>
  <si>
    <t>Karkó Péter</t>
  </si>
  <si>
    <t>2025.09.30 14:56:00</t>
  </si>
  <si>
    <t>ALDI-2025-7</t>
  </si>
  <si>
    <t>036506006</t>
  </si>
  <si>
    <t>2025.09.30 06:55:00</t>
  </si>
  <si>
    <t>ALDI-2025-3</t>
  </si>
  <si>
    <t>2025.09.30 06:24:00</t>
  </si>
  <si>
    <t>ALDI-2025-6</t>
  </si>
  <si>
    <t>Keményné Kádár Erika</t>
  </si>
  <si>
    <t>083535822</t>
  </si>
  <si>
    <t>2025.09.30 06:49:00</t>
  </si>
  <si>
    <t>ALDI-General-Törődés nők részére</t>
  </si>
  <si>
    <t>ALDI-2025-25</t>
  </si>
  <si>
    <t>Silimon Diána</t>
  </si>
  <si>
    <t>091472700</t>
  </si>
  <si>
    <t>2025.09.30 08:01:00</t>
  </si>
  <si>
    <t>HNG-2025-6050</t>
  </si>
  <si>
    <t>Horváth Tímea</t>
  </si>
  <si>
    <t>089024131</t>
  </si>
  <si>
    <t>2025.09.30 08:05:00</t>
  </si>
  <si>
    <t>HNG-2025-6052</t>
  </si>
  <si>
    <t>Kasza Krisztina</t>
  </si>
  <si>
    <t>086530091</t>
  </si>
  <si>
    <t>2025.09.30 08:25:00</t>
  </si>
  <si>
    <t>ALDI-2025-27</t>
  </si>
  <si>
    <t>Czentár Noémi</t>
  </si>
  <si>
    <t>091088501</t>
  </si>
  <si>
    <t>2025.09.30 08:27:00</t>
  </si>
  <si>
    <t>ALDI-2025-30</t>
  </si>
  <si>
    <t>Bauerné Matus Éva</t>
  </si>
  <si>
    <t>078681439</t>
  </si>
  <si>
    <t>2025.09.30 09:03:00</t>
  </si>
  <si>
    <t>ALDI-2025-21</t>
  </si>
  <si>
    <t>Román Gábor</t>
  </si>
  <si>
    <t>039424299</t>
  </si>
  <si>
    <t>ALDI-Precision- Gondoskodás Férfi (Törődés + Pajzsmirigy Komplex csomag)</t>
  </si>
  <si>
    <t>ALDI-2025-1</t>
  </si>
  <si>
    <t>Darab Zita Csenge</t>
  </si>
  <si>
    <t>2025.09.30 06:16:00</t>
  </si>
  <si>
    <t>ALDI-Precision- Gondoskodás Női (Törődés + Pajzsmirigy Komplex csomag)</t>
  </si>
  <si>
    <t>HNG-2025-6059</t>
  </si>
  <si>
    <t>Tomozi Anett</t>
  </si>
  <si>
    <t>2025.09.30 10:01:00</t>
  </si>
  <si>
    <t>ALDI-Nutritív gyümölcs, zöldség panel</t>
  </si>
  <si>
    <t>ALDI-2025-37</t>
  </si>
  <si>
    <t>Nagy Vivienn</t>
  </si>
  <si>
    <t>095696016</t>
  </si>
  <si>
    <t>2025.09.30 10:50:00</t>
  </si>
  <si>
    <t>ALDI- Endokrin II. csomag (Pajzsmirigy bővített)</t>
  </si>
  <si>
    <t>ALDI-2025-41</t>
  </si>
  <si>
    <t>Kacsó Erzsébet</t>
  </si>
  <si>
    <t>2025.09.30 12:33:00</t>
  </si>
  <si>
    <t>Szamlazas/Ossztetel</t>
  </si>
  <si>
    <t>Szamlazas/OsszNettoAr</t>
  </si>
  <si>
    <t>Szamlazas/Vizsgalattipus</t>
  </si>
  <si>
    <t>Szamlazas/TetelDarab</t>
  </si>
  <si>
    <t>Szamlazas/Tetelar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</si>
</sst>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  <col min="2" max="2" width="36" customWidth="true" style="0"/>
    <col min="3" max="3" width="18" customWidth="true" style="0"/>
    <col min="4" max="4" width="26" customWidth="true" style="0"/>
    <col min="5" max="5" width="18" customWidth="true" style="0"/>
    <col min="6" max="6" width="60" customWidth="true" style="0"/>
  </cols>
  <sheetData>
    <row r="1" spans="1:6" customHeight="1" ht="13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3.8">
      <c r="A2" t="s">
        <v>6</v>
      </c>
      <c r="B2" t="s">
        <v>7</v>
      </c>
      <c r="C2" s="1" t="s">
        <v>8</v>
      </c>
      <c r="D2" t="s">
        <v>9</v>
      </c>
      <c r="E2">
        <v>5000</v>
      </c>
      <c r="F2" t="s">
        <v>10</v>
      </c>
    </row>
    <row r="3" spans="1:6" customHeight="1" ht="13.8">
      <c r="A3" t="s">
        <v>11</v>
      </c>
      <c r="B3" t="s">
        <v>12</v>
      </c>
      <c r="C3" s="1" t="s">
        <v>13</v>
      </c>
      <c r="D3" t="s">
        <v>14</v>
      </c>
      <c r="E3">
        <v>5000</v>
      </c>
      <c r="F3" t="s">
        <v>10</v>
      </c>
    </row>
    <row r="4" spans="1:6" customHeight="1" ht="13.8">
      <c r="A4" t="s">
        <v>15</v>
      </c>
      <c r="B4" t="s">
        <v>16</v>
      </c>
      <c r="C4" s="1" t="s">
        <v>17</v>
      </c>
      <c r="D4" t="s">
        <v>18</v>
      </c>
      <c r="E4">
        <v>5000</v>
      </c>
      <c r="F4" t="s">
        <v>10</v>
      </c>
    </row>
    <row r="5" spans="1:6" customHeight="1" ht="13.8">
      <c r="A5" t="s">
        <v>19</v>
      </c>
      <c r="B5" t="s">
        <v>20</v>
      </c>
      <c r="C5" s="1" t="s">
        <v>21</v>
      </c>
      <c r="D5" t="s">
        <v>22</v>
      </c>
      <c r="E5">
        <v>5000</v>
      </c>
      <c r="F5" t="s">
        <v>10</v>
      </c>
    </row>
    <row r="6" spans="1:6" customHeight="1" ht="13.8">
      <c r="A6" t="s">
        <v>23</v>
      </c>
      <c r="B6" t="s">
        <v>24</v>
      </c>
      <c r="C6" s="1" t="s">
        <v>25</v>
      </c>
      <c r="D6" t="s">
        <v>26</v>
      </c>
      <c r="E6">
        <v>500</v>
      </c>
      <c r="F6" t="s">
        <v>27</v>
      </c>
    </row>
    <row r="7" spans="1:6" customHeight="1" ht="13.8">
      <c r="A7" t="s">
        <v>28</v>
      </c>
      <c r="B7" t="s">
        <v>29</v>
      </c>
      <c r="C7" s="1" t="s">
        <v>30</v>
      </c>
      <c r="D7" t="s">
        <v>31</v>
      </c>
      <c r="E7">
        <v>500</v>
      </c>
      <c r="F7" t="s">
        <v>27</v>
      </c>
    </row>
    <row r="8" spans="1:6" customHeight="1" ht="13.8">
      <c r="A8" t="s">
        <v>32</v>
      </c>
      <c r="B8" t="s">
        <v>33</v>
      </c>
      <c r="D8" t="s">
        <v>34</v>
      </c>
      <c r="E8">
        <v>500</v>
      </c>
      <c r="F8" t="s">
        <v>27</v>
      </c>
    </row>
    <row r="9" spans="1:6" customHeight="1" ht="13.8">
      <c r="A9" t="s">
        <v>35</v>
      </c>
      <c r="B9" t="s">
        <v>36</v>
      </c>
      <c r="C9" s="1" t="s">
        <v>37</v>
      </c>
      <c r="D9" t="s">
        <v>38</v>
      </c>
      <c r="E9">
        <v>500</v>
      </c>
      <c r="F9" t="s">
        <v>27</v>
      </c>
    </row>
    <row r="10" spans="1:6" customHeight="1" ht="13.8">
      <c r="A10" t="s">
        <v>39</v>
      </c>
      <c r="B10" t="s">
        <v>40</v>
      </c>
      <c r="C10" s="1" t="s">
        <v>41</v>
      </c>
      <c r="D10" t="s">
        <v>42</v>
      </c>
      <c r="E10">
        <v>500</v>
      </c>
      <c r="F10" t="s">
        <v>27</v>
      </c>
    </row>
    <row r="11" spans="1:6" customHeight="1" ht="13.8">
      <c r="A11" t="s">
        <v>28</v>
      </c>
      <c r="B11" t="s">
        <v>29</v>
      </c>
      <c r="C11" s="1" t="s">
        <v>30</v>
      </c>
      <c r="D11" t="s">
        <v>31</v>
      </c>
      <c r="E11">
        <v>15000</v>
      </c>
      <c r="F11" t="s">
        <v>43</v>
      </c>
    </row>
    <row r="12" spans="1:6" customHeight="1" ht="13.8">
      <c r="A12" t="s">
        <v>44</v>
      </c>
      <c r="B12" t="s">
        <v>45</v>
      </c>
      <c r="C12" s="1" t="s">
        <v>46</v>
      </c>
      <c r="D12" t="s">
        <v>47</v>
      </c>
      <c r="E12">
        <v>15000</v>
      </c>
      <c r="F12" t="s">
        <v>43</v>
      </c>
    </row>
    <row r="13" spans="1:6" customHeight="1" ht="13.8">
      <c r="A13" t="s">
        <v>28</v>
      </c>
      <c r="B13" t="s">
        <v>29</v>
      </c>
      <c r="C13" s="1" t="s">
        <v>30</v>
      </c>
      <c r="D13" t="s">
        <v>31</v>
      </c>
      <c r="E13">
        <v>1000</v>
      </c>
      <c r="F13" t="s">
        <v>48</v>
      </c>
    </row>
    <row r="14" spans="1:6" customHeight="1" ht="13.8">
      <c r="A14" t="s">
        <v>49</v>
      </c>
      <c r="B14" t="s">
        <v>50</v>
      </c>
      <c r="C14" s="1" t="s">
        <v>51</v>
      </c>
      <c r="D14" t="s">
        <v>52</v>
      </c>
      <c r="E14">
        <v>1000</v>
      </c>
      <c r="F14" t="s">
        <v>48</v>
      </c>
    </row>
    <row r="15" spans="1:6" customHeight="1" ht="13.8">
      <c r="A15" t="s">
        <v>53</v>
      </c>
      <c r="B15" t="s">
        <v>54</v>
      </c>
      <c r="C15" s="1" t="s">
        <v>55</v>
      </c>
      <c r="D15" t="s">
        <v>56</v>
      </c>
      <c r="E15">
        <v>1000</v>
      </c>
      <c r="F15" t="s">
        <v>48</v>
      </c>
    </row>
    <row r="16" spans="1:6" customHeight="1" ht="13.8">
      <c r="A16" t="s">
        <v>57</v>
      </c>
      <c r="B16" t="s">
        <v>58</v>
      </c>
      <c r="C16">
        <v>121104263</v>
      </c>
      <c r="D16" t="s">
        <v>59</v>
      </c>
      <c r="E16">
        <v>1000</v>
      </c>
      <c r="F16" t="s">
        <v>48</v>
      </c>
    </row>
    <row r="17" spans="1:6" customHeight="1" ht="13.8">
      <c r="A17" t="s">
        <v>60</v>
      </c>
      <c r="B17" t="s">
        <v>61</v>
      </c>
      <c r="C17" s="1" t="s">
        <v>62</v>
      </c>
      <c r="D17" t="s">
        <v>63</v>
      </c>
      <c r="E17">
        <v>1000</v>
      </c>
      <c r="F17" t="s">
        <v>48</v>
      </c>
    </row>
    <row r="18" spans="1:6" customHeight="1" ht="13.8">
      <c r="A18" t="s">
        <v>39</v>
      </c>
      <c r="B18" t="s">
        <v>40</v>
      </c>
      <c r="C18" s="1" t="s">
        <v>41</v>
      </c>
      <c r="D18" t="s">
        <v>42</v>
      </c>
      <c r="E18">
        <v>1000</v>
      </c>
      <c r="F18" t="s">
        <v>48</v>
      </c>
    </row>
    <row r="19" spans="1:6" customHeight="1" ht="13.8">
      <c r="A19" t="s">
        <v>35</v>
      </c>
      <c r="B19" t="s">
        <v>36</v>
      </c>
      <c r="C19" s="1" t="s">
        <v>37</v>
      </c>
      <c r="D19" t="s">
        <v>38</v>
      </c>
      <c r="E19">
        <v>1000</v>
      </c>
      <c r="F19" t="s">
        <v>48</v>
      </c>
    </row>
    <row r="20" spans="1:6" customHeight="1" ht="13.8">
      <c r="A20" t="s">
        <v>64</v>
      </c>
      <c r="B20" t="s">
        <v>65</v>
      </c>
      <c r="C20">
        <v>109844707</v>
      </c>
      <c r="D20" t="s">
        <v>66</v>
      </c>
      <c r="E20">
        <v>1000</v>
      </c>
      <c r="F20" t="s">
        <v>48</v>
      </c>
    </row>
    <row r="21" spans="1:6" customHeight="1" ht="13.8">
      <c r="A21" t="s">
        <v>67</v>
      </c>
      <c r="B21" t="s">
        <v>68</v>
      </c>
      <c r="C21" s="1" t="s">
        <v>69</v>
      </c>
      <c r="D21" t="s">
        <v>70</v>
      </c>
      <c r="E21">
        <v>5000</v>
      </c>
      <c r="F21" t="s">
        <v>71</v>
      </c>
    </row>
    <row r="22" spans="1:6" customHeight="1" ht="13.8">
      <c r="A22" t="s">
        <v>72</v>
      </c>
      <c r="B22" t="s">
        <v>73</v>
      </c>
      <c r="C22" s="1" t="s">
        <v>74</v>
      </c>
      <c r="D22" t="s">
        <v>75</v>
      </c>
      <c r="E22">
        <v>5000</v>
      </c>
      <c r="F22" t="s">
        <v>71</v>
      </c>
    </row>
    <row r="23" spans="1:6" customHeight="1" ht="13.8">
      <c r="A23" t="s">
        <v>76</v>
      </c>
      <c r="B23" t="s">
        <v>77</v>
      </c>
      <c r="C23" s="1" t="s">
        <v>78</v>
      </c>
      <c r="D23" t="s">
        <v>79</v>
      </c>
      <c r="E23">
        <v>5000</v>
      </c>
      <c r="F23" t="s">
        <v>71</v>
      </c>
    </row>
    <row r="24" spans="1:6" customHeight="1" ht="13.8">
      <c r="A24" t="s">
        <v>80</v>
      </c>
      <c r="B24" t="s">
        <v>81</v>
      </c>
      <c r="C24" s="1" t="s">
        <v>82</v>
      </c>
      <c r="D24" t="s">
        <v>83</v>
      </c>
      <c r="E24">
        <v>5000</v>
      </c>
      <c r="F24" t="s">
        <v>71</v>
      </c>
    </row>
    <row r="25" spans="1:6" customHeight="1" ht="13.8">
      <c r="A25" t="s">
        <v>84</v>
      </c>
      <c r="B25" t="s">
        <v>85</v>
      </c>
      <c r="C25" s="1" t="s">
        <v>86</v>
      </c>
      <c r="D25" t="s">
        <v>87</v>
      </c>
      <c r="E25">
        <v>5000</v>
      </c>
      <c r="F25" t="s">
        <v>71</v>
      </c>
    </row>
    <row r="26" spans="1:6" customHeight="1" ht="13.8">
      <c r="A26" t="s">
        <v>88</v>
      </c>
      <c r="B26" t="s">
        <v>89</v>
      </c>
      <c r="C26" s="1" t="s">
        <v>90</v>
      </c>
      <c r="D26" t="s">
        <v>91</v>
      </c>
      <c r="E26">
        <v>5000</v>
      </c>
      <c r="F26" t="s">
        <v>71</v>
      </c>
    </row>
    <row r="27" spans="1:6" customHeight="1" ht="13.8">
      <c r="A27" t="s">
        <v>92</v>
      </c>
      <c r="B27" t="s">
        <v>93</v>
      </c>
      <c r="C27" s="1" t="s">
        <v>94</v>
      </c>
      <c r="D27" t="s">
        <v>95</v>
      </c>
      <c r="E27">
        <v>5000</v>
      </c>
      <c r="F27" t="s">
        <v>71</v>
      </c>
    </row>
    <row r="28" spans="1:6" customHeight="1" ht="13.8">
      <c r="A28" t="s">
        <v>28</v>
      </c>
      <c r="B28" t="s">
        <v>29</v>
      </c>
      <c r="C28" s="1" t="s">
        <v>30</v>
      </c>
      <c r="D28" t="s">
        <v>31</v>
      </c>
      <c r="E28">
        <v>2000</v>
      </c>
      <c r="F28" t="s">
        <v>96</v>
      </c>
    </row>
    <row r="29" spans="1:6" customHeight="1" ht="13.8">
      <c r="A29" t="s">
        <v>97</v>
      </c>
      <c r="B29" t="s">
        <v>98</v>
      </c>
      <c r="C29">
        <v>138671170</v>
      </c>
      <c r="D29" t="s">
        <v>99</v>
      </c>
      <c r="E29">
        <v>500</v>
      </c>
      <c r="F29" t="s">
        <v>100</v>
      </c>
    </row>
    <row r="30" spans="1:6" customHeight="1" ht="13.8">
      <c r="A30" t="s">
        <v>101</v>
      </c>
      <c r="B30" t="s">
        <v>102</v>
      </c>
      <c r="C30">
        <v>105841072</v>
      </c>
      <c r="D30" t="s">
        <v>103</v>
      </c>
      <c r="E30">
        <v>500</v>
      </c>
      <c r="F30" t="s">
        <v>104</v>
      </c>
    </row>
    <row r="31" spans="1:6" customHeight="1" ht="13.8">
      <c r="A31" t="s">
        <v>32</v>
      </c>
      <c r="B31" t="s">
        <v>33</v>
      </c>
      <c r="D31" t="s">
        <v>34</v>
      </c>
      <c r="E31">
        <v>500</v>
      </c>
      <c r="F31" t="s">
        <v>104</v>
      </c>
    </row>
    <row r="32" spans="1:6" customHeight="1" ht="13.8">
      <c r="A32" t="s">
        <v>97</v>
      </c>
      <c r="B32" t="s">
        <v>98</v>
      </c>
      <c r="C32">
        <v>138671170</v>
      </c>
      <c r="D32" t="s">
        <v>99</v>
      </c>
      <c r="E32">
        <v>500</v>
      </c>
      <c r="F32" t="s">
        <v>104</v>
      </c>
    </row>
    <row r="33" spans="1:6" customHeight="1" ht="13.8">
      <c r="A33" t="s">
        <v>39</v>
      </c>
      <c r="B33" t="s">
        <v>40</v>
      </c>
      <c r="C33" s="1" t="s">
        <v>41</v>
      </c>
      <c r="D33" t="s">
        <v>42</v>
      </c>
      <c r="E33">
        <v>500</v>
      </c>
      <c r="F33" t="s">
        <v>104</v>
      </c>
    </row>
    <row r="34" spans="1:6" customHeight="1" ht="13.8">
      <c r="A34" t="s">
        <v>105</v>
      </c>
      <c r="B34" t="s">
        <v>106</v>
      </c>
      <c r="C34" s="1" t="s">
        <v>107</v>
      </c>
      <c r="D34" t="s">
        <v>108</v>
      </c>
      <c r="E34">
        <v>500</v>
      </c>
      <c r="F34" t="s">
        <v>104</v>
      </c>
    </row>
    <row r="35" spans="1:6" customHeight="1" ht="13.8">
      <c r="A35" t="s">
        <v>23</v>
      </c>
      <c r="B35" t="s">
        <v>24</v>
      </c>
      <c r="C35" s="1" t="s">
        <v>25</v>
      </c>
      <c r="D35" t="s">
        <v>26</v>
      </c>
      <c r="E35">
        <v>500</v>
      </c>
      <c r="F35" t="s">
        <v>104</v>
      </c>
    </row>
    <row r="36" spans="1:6" customHeight="1" ht="13.8">
      <c r="A36" t="s">
        <v>109</v>
      </c>
      <c r="B36" t="s">
        <v>110</v>
      </c>
      <c r="C36" s="1" t="s">
        <v>111</v>
      </c>
      <c r="D36" t="s">
        <v>112</v>
      </c>
      <c r="E36">
        <v>500</v>
      </c>
      <c r="F36" t="s">
        <v>104</v>
      </c>
    </row>
    <row r="37" spans="1:6" customHeight="1" ht="13.8">
      <c r="A37" t="s">
        <v>113</v>
      </c>
      <c r="B37" t="s">
        <v>114</v>
      </c>
      <c r="C37" s="1" t="s">
        <v>115</v>
      </c>
      <c r="D37" t="s">
        <v>116</v>
      </c>
      <c r="E37">
        <v>500</v>
      </c>
      <c r="F37" t="s">
        <v>104</v>
      </c>
    </row>
    <row r="38" spans="1:6" customHeight="1" ht="13.8">
      <c r="A38" t="s">
        <v>19</v>
      </c>
      <c r="B38" t="s">
        <v>20</v>
      </c>
      <c r="C38" s="1" t="s">
        <v>21</v>
      </c>
      <c r="D38" t="s">
        <v>22</v>
      </c>
      <c r="E38">
        <v>5000</v>
      </c>
      <c r="F38" t="s">
        <v>117</v>
      </c>
    </row>
    <row r="39" spans="1:6" customHeight="1" ht="13.8">
      <c r="A39" t="s">
        <v>15</v>
      </c>
      <c r="B39" t="s">
        <v>16</v>
      </c>
      <c r="C39" s="1" t="s">
        <v>17</v>
      </c>
      <c r="D39" t="s">
        <v>18</v>
      </c>
      <c r="E39">
        <v>5000</v>
      </c>
      <c r="F39" t="s">
        <v>117</v>
      </c>
    </row>
    <row r="40" spans="1:6" customHeight="1" ht="13.8">
      <c r="A40" t="s">
        <v>118</v>
      </c>
      <c r="B40" t="s">
        <v>119</v>
      </c>
      <c r="C40" s="1" t="s">
        <v>120</v>
      </c>
      <c r="D40" t="s">
        <v>121</v>
      </c>
      <c r="E40">
        <v>5000</v>
      </c>
      <c r="F40" t="s">
        <v>117</v>
      </c>
    </row>
    <row r="41" spans="1:6" customHeight="1" ht="13.8">
      <c r="A41" t="s">
        <v>122</v>
      </c>
      <c r="B41" t="s">
        <v>123</v>
      </c>
      <c r="C41" s="1" t="s">
        <v>124</v>
      </c>
      <c r="D41" t="s">
        <v>125</v>
      </c>
      <c r="E41">
        <v>5000</v>
      </c>
      <c r="F41" t="s">
        <v>117</v>
      </c>
    </row>
    <row r="42" spans="1:6" customHeight="1" ht="13.8">
      <c r="A42" t="s">
        <v>11</v>
      </c>
      <c r="B42" t="s">
        <v>12</v>
      </c>
      <c r="C42" s="1" t="s">
        <v>13</v>
      </c>
      <c r="D42" t="s">
        <v>14</v>
      </c>
      <c r="E42">
        <v>5000</v>
      </c>
      <c r="F42" t="s">
        <v>117</v>
      </c>
    </row>
    <row r="43" spans="1:6" customHeight="1" ht="13.8">
      <c r="A43" t="s">
        <v>6</v>
      </c>
      <c r="B43" t="s">
        <v>7</v>
      </c>
      <c r="C43" s="1" t="s">
        <v>8</v>
      </c>
      <c r="D43" t="s">
        <v>9</v>
      </c>
      <c r="E43">
        <v>5000</v>
      </c>
      <c r="F43" t="s">
        <v>117</v>
      </c>
    </row>
    <row r="44" spans="1:6" customHeight="1" ht="13.8">
      <c r="A44" t="s">
        <v>126</v>
      </c>
      <c r="B44" t="s">
        <v>127</v>
      </c>
      <c r="C44" s="1" t="s">
        <v>128</v>
      </c>
      <c r="D44" t="s">
        <v>129</v>
      </c>
      <c r="E44">
        <v>5000</v>
      </c>
      <c r="F44" t="s">
        <v>117</v>
      </c>
    </row>
    <row r="45" spans="1:6" customHeight="1" ht="13.8">
      <c r="A45" t="s">
        <v>130</v>
      </c>
      <c r="B45" t="s">
        <v>131</v>
      </c>
      <c r="C45" s="1" t="s">
        <v>132</v>
      </c>
      <c r="D45" t="s">
        <v>133</v>
      </c>
      <c r="E45">
        <v>2500</v>
      </c>
      <c r="F45" t="s">
        <v>134</v>
      </c>
    </row>
    <row r="46" spans="1:6" customHeight="1" ht="13.8">
      <c r="A46" t="s">
        <v>135</v>
      </c>
      <c r="B46" t="s">
        <v>136</v>
      </c>
      <c r="C46" s="1" t="s">
        <v>137</v>
      </c>
      <c r="D46" t="s">
        <v>138</v>
      </c>
      <c r="E46">
        <v>2500</v>
      </c>
      <c r="F46" t="s">
        <v>134</v>
      </c>
    </row>
    <row r="47" spans="1:6" customHeight="1" ht="13.8">
      <c r="A47" t="s">
        <v>32</v>
      </c>
      <c r="B47" t="s">
        <v>33</v>
      </c>
      <c r="D47" t="s">
        <v>34</v>
      </c>
      <c r="E47">
        <v>2500</v>
      </c>
      <c r="F47" t="s">
        <v>134</v>
      </c>
    </row>
    <row r="48" spans="1:6" customHeight="1" ht="13.8">
      <c r="A48" t="s">
        <v>101</v>
      </c>
      <c r="B48" t="s">
        <v>102</v>
      </c>
      <c r="C48">
        <v>105841072</v>
      </c>
      <c r="D48" t="s">
        <v>103</v>
      </c>
      <c r="E48">
        <v>2500</v>
      </c>
      <c r="F48" t="s">
        <v>134</v>
      </c>
    </row>
    <row r="49" spans="1:6" customHeight="1" ht="13.8">
      <c r="A49" t="s">
        <v>139</v>
      </c>
      <c r="B49" t="s">
        <v>140</v>
      </c>
      <c r="C49" s="1" t="s">
        <v>141</v>
      </c>
      <c r="D49" t="s">
        <v>142</v>
      </c>
      <c r="E49">
        <v>2500</v>
      </c>
      <c r="F49" t="s">
        <v>134</v>
      </c>
    </row>
    <row r="50" spans="1:6" customHeight="1" ht="13.8">
      <c r="A50" t="s">
        <v>97</v>
      </c>
      <c r="B50" t="s">
        <v>98</v>
      </c>
      <c r="C50">
        <v>138671170</v>
      </c>
      <c r="D50" t="s">
        <v>99</v>
      </c>
      <c r="E50">
        <v>2500</v>
      </c>
      <c r="F50" t="s">
        <v>134</v>
      </c>
    </row>
    <row r="51" spans="1:6" customHeight="1" ht="13.8">
      <c r="A51" t="s">
        <v>143</v>
      </c>
      <c r="B51" t="s">
        <v>144</v>
      </c>
      <c r="C51" s="1" t="s">
        <v>145</v>
      </c>
      <c r="D51" t="s">
        <v>146</v>
      </c>
      <c r="E51">
        <v>2500</v>
      </c>
      <c r="F51" t="s">
        <v>134</v>
      </c>
    </row>
    <row r="52" spans="1:6" customHeight="1" ht="13.8">
      <c r="A52" t="s">
        <v>60</v>
      </c>
      <c r="B52" t="s">
        <v>61</v>
      </c>
      <c r="C52" s="1" t="s">
        <v>62</v>
      </c>
      <c r="D52" t="s">
        <v>63</v>
      </c>
      <c r="E52">
        <v>2500</v>
      </c>
      <c r="F52" t="s">
        <v>134</v>
      </c>
    </row>
    <row r="53" spans="1:6" customHeight="1" ht="13.8">
      <c r="A53" t="s">
        <v>147</v>
      </c>
      <c r="B53" t="s">
        <v>148</v>
      </c>
      <c r="C53" s="1" t="s">
        <v>149</v>
      </c>
      <c r="D53" t="s">
        <v>150</v>
      </c>
      <c r="E53">
        <v>2500</v>
      </c>
      <c r="F53" t="s">
        <v>134</v>
      </c>
    </row>
    <row r="54" spans="1:6" customHeight="1" ht="13.8">
      <c r="A54" t="s">
        <v>19</v>
      </c>
      <c r="B54" t="s">
        <v>20</v>
      </c>
      <c r="C54" s="1" t="s">
        <v>21</v>
      </c>
      <c r="D54" t="s">
        <v>22</v>
      </c>
      <c r="E54">
        <v>2500</v>
      </c>
      <c r="F54" t="s">
        <v>134</v>
      </c>
    </row>
    <row r="55" spans="1:6" customHeight="1" ht="13.8">
      <c r="A55" t="s">
        <v>151</v>
      </c>
      <c r="B55" t="s">
        <v>152</v>
      </c>
      <c r="C55" s="1" t="s">
        <v>153</v>
      </c>
      <c r="D55" t="s">
        <v>154</v>
      </c>
      <c r="E55">
        <v>2500</v>
      </c>
      <c r="F55" t="s">
        <v>134</v>
      </c>
    </row>
    <row r="56" spans="1:6" customHeight="1" ht="13.8">
      <c r="A56" t="s">
        <v>155</v>
      </c>
      <c r="B56" t="s">
        <v>156</v>
      </c>
      <c r="C56" s="1" t="s">
        <v>157</v>
      </c>
      <c r="D56" t="s">
        <v>158</v>
      </c>
      <c r="E56">
        <v>2500</v>
      </c>
      <c r="F56" t="s">
        <v>134</v>
      </c>
    </row>
    <row r="57" spans="1:6" customHeight="1" ht="13.8">
      <c r="A57" t="s">
        <v>49</v>
      </c>
      <c r="B57" t="s">
        <v>50</v>
      </c>
      <c r="C57" s="1" t="s">
        <v>51</v>
      </c>
      <c r="D57" t="s">
        <v>52</v>
      </c>
      <c r="E57">
        <v>2500</v>
      </c>
      <c r="F57" t="s">
        <v>134</v>
      </c>
    </row>
    <row r="58" spans="1:6" customHeight="1" ht="13.8">
      <c r="A58" t="s">
        <v>159</v>
      </c>
      <c r="B58" t="s">
        <v>160</v>
      </c>
      <c r="C58" s="1" t="s">
        <v>161</v>
      </c>
      <c r="D58" t="s">
        <v>162</v>
      </c>
      <c r="E58">
        <v>2500</v>
      </c>
      <c r="F58" t="s">
        <v>134</v>
      </c>
    </row>
    <row r="59" spans="1:6" customHeight="1" ht="13.8">
      <c r="A59" t="s">
        <v>113</v>
      </c>
      <c r="B59" t="s">
        <v>114</v>
      </c>
      <c r="C59" s="1" t="s">
        <v>115</v>
      </c>
      <c r="D59" t="s">
        <v>116</v>
      </c>
      <c r="E59">
        <v>2500</v>
      </c>
      <c r="F59" t="s">
        <v>134</v>
      </c>
    </row>
    <row r="60" spans="1:6" customHeight="1" ht="13.8">
      <c r="A60" t="s">
        <v>163</v>
      </c>
      <c r="B60" t="s">
        <v>164</v>
      </c>
      <c r="C60" s="1" t="s">
        <v>165</v>
      </c>
      <c r="D60" t="s">
        <v>166</v>
      </c>
      <c r="E60">
        <v>2500</v>
      </c>
      <c r="F60" t="s">
        <v>134</v>
      </c>
    </row>
    <row r="61" spans="1:6" customHeight="1" ht="13.8">
      <c r="A61" t="s">
        <v>167</v>
      </c>
      <c r="B61" t="s">
        <v>168</v>
      </c>
      <c r="C61" s="1" t="s">
        <v>169</v>
      </c>
      <c r="D61" t="s">
        <v>170</v>
      </c>
      <c r="E61">
        <v>2500</v>
      </c>
      <c r="F61" t="s">
        <v>134</v>
      </c>
    </row>
    <row r="62" spans="1:6" customHeight="1" ht="13.8">
      <c r="A62" t="s">
        <v>171</v>
      </c>
      <c r="B62" t="s">
        <v>172</v>
      </c>
      <c r="C62" s="1" t="s">
        <v>173</v>
      </c>
      <c r="D62" t="s">
        <v>174</v>
      </c>
      <c r="E62">
        <v>2500</v>
      </c>
      <c r="F62" t="s">
        <v>134</v>
      </c>
    </row>
    <row r="63" spans="1:6" customHeight="1" ht="13.8">
      <c r="A63" t="s">
        <v>6</v>
      </c>
      <c r="B63" t="s">
        <v>7</v>
      </c>
      <c r="C63" s="1" t="s">
        <v>8</v>
      </c>
      <c r="D63" t="s">
        <v>9</v>
      </c>
      <c r="E63">
        <v>10000</v>
      </c>
      <c r="F63" t="s">
        <v>175</v>
      </c>
    </row>
    <row r="64" spans="1:6" customHeight="1" ht="13.8">
      <c r="A64" t="s">
        <v>176</v>
      </c>
      <c r="B64" t="s">
        <v>177</v>
      </c>
      <c r="C64" s="1" t="s">
        <v>178</v>
      </c>
      <c r="D64" t="s">
        <v>179</v>
      </c>
      <c r="E64">
        <v>12000</v>
      </c>
      <c r="F64" t="s">
        <v>180</v>
      </c>
    </row>
    <row r="65" spans="1:6" customHeight="1" ht="13.8">
      <c r="A65" t="s">
        <v>181</v>
      </c>
      <c r="B65" t="s">
        <v>182</v>
      </c>
      <c r="C65" s="1" t="s">
        <v>183</v>
      </c>
      <c r="D65" t="s">
        <v>184</v>
      </c>
      <c r="E65">
        <v>12000</v>
      </c>
      <c r="F65" t="s">
        <v>180</v>
      </c>
    </row>
    <row r="66" spans="1:6" customHeight="1" ht="13.8">
      <c r="A66" t="s">
        <v>53</v>
      </c>
      <c r="B66" t="s">
        <v>54</v>
      </c>
      <c r="C66" s="1" t="s">
        <v>55</v>
      </c>
      <c r="D66" t="s">
        <v>56</v>
      </c>
      <c r="E66">
        <v>6000</v>
      </c>
      <c r="F66" t="s">
        <v>185</v>
      </c>
    </row>
    <row r="67" spans="1:6" customHeight="1" ht="13.8">
      <c r="A67" t="s">
        <v>186</v>
      </c>
      <c r="B67" t="s">
        <v>187</v>
      </c>
      <c r="C67" s="1" t="s">
        <v>188</v>
      </c>
      <c r="D67" t="s">
        <v>189</v>
      </c>
      <c r="E67">
        <v>6000</v>
      </c>
      <c r="F67" t="s">
        <v>185</v>
      </c>
    </row>
    <row r="68" spans="1:6" customHeight="1" ht="13.8">
      <c r="A68" t="s">
        <v>190</v>
      </c>
      <c r="B68" t="s">
        <v>191</v>
      </c>
      <c r="C68" s="1" t="s">
        <v>192</v>
      </c>
      <c r="D68" t="s">
        <v>193</v>
      </c>
      <c r="E68">
        <v>6000</v>
      </c>
      <c r="F68" t="s">
        <v>185</v>
      </c>
    </row>
    <row r="69" spans="1:6" customHeight="1" ht="13.8">
      <c r="A69" t="s">
        <v>92</v>
      </c>
      <c r="B69" t="s">
        <v>93</v>
      </c>
      <c r="C69" s="1" t="s">
        <v>94</v>
      </c>
      <c r="D69" t="s">
        <v>95</v>
      </c>
      <c r="E69">
        <v>6000</v>
      </c>
      <c r="F69" t="s">
        <v>185</v>
      </c>
    </row>
    <row r="70" spans="1:6" customHeight="1" ht="13.8">
      <c r="A70" t="s">
        <v>194</v>
      </c>
      <c r="B70" t="s">
        <v>195</v>
      </c>
      <c r="C70">
        <v>121397629</v>
      </c>
      <c r="D70" t="s">
        <v>196</v>
      </c>
      <c r="E70">
        <v>6000</v>
      </c>
      <c r="F70" t="s">
        <v>185</v>
      </c>
    </row>
    <row r="71" spans="1:6" customHeight="1" ht="13.8">
      <c r="A71" t="s">
        <v>197</v>
      </c>
      <c r="B71" t="s">
        <v>198</v>
      </c>
      <c r="C71" s="1" t="s">
        <v>199</v>
      </c>
      <c r="D71" t="s">
        <v>200</v>
      </c>
      <c r="E71">
        <v>3500</v>
      </c>
      <c r="F71" t="s">
        <v>201</v>
      </c>
    </row>
    <row r="72" spans="1:6" customHeight="1" ht="13.8">
      <c r="A72" t="s">
        <v>171</v>
      </c>
      <c r="B72" t="s">
        <v>172</v>
      </c>
      <c r="C72" s="1" t="s">
        <v>173</v>
      </c>
      <c r="D72" t="s">
        <v>174</v>
      </c>
      <c r="E72">
        <v>3500</v>
      </c>
      <c r="F72" t="s">
        <v>201</v>
      </c>
    </row>
    <row r="73" spans="1:6" customHeight="1" ht="13.8">
      <c r="A73" t="s">
        <v>202</v>
      </c>
      <c r="B73" t="s">
        <v>203</v>
      </c>
      <c r="C73" s="1" t="s">
        <v>204</v>
      </c>
      <c r="D73" t="s">
        <v>205</v>
      </c>
      <c r="E73">
        <v>3500</v>
      </c>
      <c r="F73" t="s">
        <v>201</v>
      </c>
    </row>
    <row r="74" spans="1:6" customHeight="1" ht="13.8">
      <c r="A74" t="s">
        <v>32</v>
      </c>
      <c r="B74" t="s">
        <v>33</v>
      </c>
      <c r="D74" t="s">
        <v>34</v>
      </c>
      <c r="E74">
        <v>3500</v>
      </c>
      <c r="F74" t="s">
        <v>201</v>
      </c>
    </row>
    <row r="75" spans="1:6" customHeight="1" ht="13.8">
      <c r="A75" t="s">
        <v>35</v>
      </c>
      <c r="B75" t="s">
        <v>36</v>
      </c>
      <c r="C75" s="1" t="s">
        <v>37</v>
      </c>
      <c r="D75" t="s">
        <v>38</v>
      </c>
      <c r="E75">
        <v>3500</v>
      </c>
      <c r="F75" t="s">
        <v>201</v>
      </c>
    </row>
    <row r="76" spans="1:6" customHeight="1" ht="13.8">
      <c r="A76" t="s">
        <v>206</v>
      </c>
      <c r="B76" t="s">
        <v>207</v>
      </c>
      <c r="C76" s="1" t="s">
        <v>208</v>
      </c>
      <c r="D76" t="s">
        <v>209</v>
      </c>
      <c r="E76">
        <v>3500</v>
      </c>
      <c r="F76" t="s">
        <v>201</v>
      </c>
    </row>
    <row r="77" spans="1:6" customHeight="1" ht="13.8">
      <c r="A77" t="s">
        <v>39</v>
      </c>
      <c r="B77" t="s">
        <v>40</v>
      </c>
      <c r="C77" s="1" t="s">
        <v>41</v>
      </c>
      <c r="D77" t="s">
        <v>42</v>
      </c>
      <c r="E77">
        <v>3500</v>
      </c>
      <c r="F77" t="s">
        <v>201</v>
      </c>
    </row>
    <row r="78" spans="1:6" customHeight="1" ht="13.8">
      <c r="A78" t="s">
        <v>97</v>
      </c>
      <c r="B78" t="s">
        <v>98</v>
      </c>
      <c r="C78">
        <v>138671170</v>
      </c>
      <c r="D78" t="s">
        <v>99</v>
      </c>
      <c r="E78">
        <v>500</v>
      </c>
      <c r="F78" t="s">
        <v>210</v>
      </c>
    </row>
    <row r="79" spans="1:6" customHeight="1" ht="13.8">
      <c r="A79" t="s">
        <v>211</v>
      </c>
      <c r="B79" t="s">
        <v>212</v>
      </c>
      <c r="C79" s="1" t="s">
        <v>213</v>
      </c>
      <c r="D79" t="s">
        <v>214</v>
      </c>
      <c r="E79">
        <v>500</v>
      </c>
      <c r="F79" t="s">
        <v>210</v>
      </c>
    </row>
    <row r="80" spans="1:6" customHeight="1" ht="13.8">
      <c r="A80" t="s">
        <v>215</v>
      </c>
      <c r="B80" t="s">
        <v>216</v>
      </c>
      <c r="C80" s="1" t="s">
        <v>217</v>
      </c>
      <c r="D80" t="s">
        <v>218</v>
      </c>
      <c r="E80">
        <v>500</v>
      </c>
      <c r="F80" t="s">
        <v>210</v>
      </c>
    </row>
    <row r="81" spans="1:6" customHeight="1" ht="13.8">
      <c r="A81" t="s">
        <v>101</v>
      </c>
      <c r="B81" t="s">
        <v>102</v>
      </c>
      <c r="C81">
        <v>105841072</v>
      </c>
      <c r="D81" t="s">
        <v>103</v>
      </c>
      <c r="E81">
        <v>500</v>
      </c>
      <c r="F81" t="s">
        <v>210</v>
      </c>
    </row>
    <row r="82" spans="1:6" customHeight="1" ht="13.8">
      <c r="A82" t="s">
        <v>23</v>
      </c>
      <c r="B82" t="s">
        <v>24</v>
      </c>
      <c r="C82" s="1" t="s">
        <v>25</v>
      </c>
      <c r="D82" t="s">
        <v>26</v>
      </c>
      <c r="E82">
        <v>500</v>
      </c>
      <c r="F82" t="s">
        <v>210</v>
      </c>
    </row>
    <row r="83" spans="1:6" customHeight="1" ht="13.8">
      <c r="A83" t="s">
        <v>105</v>
      </c>
      <c r="B83" t="s">
        <v>106</v>
      </c>
      <c r="C83" s="1" t="s">
        <v>107</v>
      </c>
      <c r="D83" t="s">
        <v>108</v>
      </c>
      <c r="E83">
        <v>500</v>
      </c>
      <c r="F83" t="s">
        <v>210</v>
      </c>
    </row>
    <row r="84" spans="1:6" customHeight="1" ht="13.8">
      <c r="A84" t="s">
        <v>113</v>
      </c>
      <c r="B84" t="s">
        <v>114</v>
      </c>
      <c r="C84" s="1" t="s">
        <v>115</v>
      </c>
      <c r="D84" t="s">
        <v>116</v>
      </c>
      <c r="E84">
        <v>500</v>
      </c>
      <c r="F84" t="s">
        <v>210</v>
      </c>
    </row>
    <row r="85" spans="1:6" customHeight="1" ht="13.8">
      <c r="A85" t="s">
        <v>219</v>
      </c>
      <c r="B85" t="s">
        <v>220</v>
      </c>
      <c r="C85" s="1" t="s">
        <v>221</v>
      </c>
      <c r="D85" t="s">
        <v>222</v>
      </c>
      <c r="E85">
        <v>500</v>
      </c>
      <c r="F85" t="s">
        <v>210</v>
      </c>
    </row>
    <row r="86" spans="1:6" customHeight="1" ht="13.8">
      <c r="A86" t="s">
        <v>109</v>
      </c>
      <c r="B86" t="s">
        <v>110</v>
      </c>
      <c r="C86" s="1" t="s">
        <v>111</v>
      </c>
      <c r="D86" t="s">
        <v>112</v>
      </c>
      <c r="E86">
        <v>500</v>
      </c>
      <c r="F86" t="s">
        <v>210</v>
      </c>
    </row>
    <row r="87" spans="1:6" customHeight="1" ht="13.8">
      <c r="A87" t="s">
        <v>113</v>
      </c>
      <c r="B87" t="s">
        <v>114</v>
      </c>
      <c r="C87" s="1" t="s">
        <v>115</v>
      </c>
      <c r="D87" t="s">
        <v>116</v>
      </c>
      <c r="E87">
        <v>500</v>
      </c>
      <c r="F87" t="s">
        <v>223</v>
      </c>
    </row>
    <row r="88" spans="1:6" customHeight="1" ht="13.8">
      <c r="A88" t="s">
        <v>97</v>
      </c>
      <c r="B88" t="s">
        <v>98</v>
      </c>
      <c r="C88">
        <v>138671170</v>
      </c>
      <c r="D88" t="s">
        <v>99</v>
      </c>
      <c r="E88">
        <v>500</v>
      </c>
      <c r="F88" t="s">
        <v>223</v>
      </c>
    </row>
    <row r="89" spans="1:6" customHeight="1" ht="13.8">
      <c r="A89" t="s">
        <v>215</v>
      </c>
      <c r="B89" t="s">
        <v>216</v>
      </c>
      <c r="C89" s="1" t="s">
        <v>217</v>
      </c>
      <c r="D89" t="s">
        <v>218</v>
      </c>
      <c r="E89">
        <v>500</v>
      </c>
      <c r="F89" t="s">
        <v>223</v>
      </c>
    </row>
    <row r="90" spans="1:6" customHeight="1" ht="13.8">
      <c r="A90" t="s">
        <v>211</v>
      </c>
      <c r="B90" t="s">
        <v>212</v>
      </c>
      <c r="C90" s="1" t="s">
        <v>213</v>
      </c>
      <c r="D90" t="s">
        <v>214</v>
      </c>
      <c r="E90">
        <v>500</v>
      </c>
      <c r="F90" t="s">
        <v>223</v>
      </c>
    </row>
    <row r="91" spans="1:6" customHeight="1" ht="13.8">
      <c r="A91" t="s">
        <v>211</v>
      </c>
      <c r="B91" t="s">
        <v>212</v>
      </c>
      <c r="C91" s="1" t="s">
        <v>213</v>
      </c>
      <c r="D91" t="s">
        <v>214</v>
      </c>
      <c r="E91">
        <v>500</v>
      </c>
      <c r="F91" t="s">
        <v>224</v>
      </c>
    </row>
    <row r="92" spans="1:6" customHeight="1" ht="13.8">
      <c r="A92" t="s">
        <v>215</v>
      </c>
      <c r="B92" t="s">
        <v>216</v>
      </c>
      <c r="C92" s="1" t="s">
        <v>217</v>
      </c>
      <c r="D92" t="s">
        <v>218</v>
      </c>
      <c r="E92">
        <v>500</v>
      </c>
      <c r="F92" t="s">
        <v>224</v>
      </c>
    </row>
    <row r="93" spans="1:6" customHeight="1" ht="13.8">
      <c r="A93" t="s">
        <v>97</v>
      </c>
      <c r="B93" t="s">
        <v>98</v>
      </c>
      <c r="C93">
        <v>138671170</v>
      </c>
      <c r="D93" t="s">
        <v>99</v>
      </c>
      <c r="E93">
        <v>500</v>
      </c>
      <c r="F93" t="s">
        <v>224</v>
      </c>
    </row>
    <row r="94" spans="1:6" customHeight="1" ht="13.8">
      <c r="A94" t="s">
        <v>101</v>
      </c>
      <c r="B94" t="s">
        <v>102</v>
      </c>
      <c r="C94">
        <v>105841072</v>
      </c>
      <c r="D94" t="s">
        <v>103</v>
      </c>
      <c r="E94">
        <v>500</v>
      </c>
      <c r="F94" t="s">
        <v>224</v>
      </c>
    </row>
    <row r="95" spans="1:6" customHeight="1" ht="13.8">
      <c r="A95" t="s">
        <v>105</v>
      </c>
      <c r="B95" t="s">
        <v>106</v>
      </c>
      <c r="C95" s="1" t="s">
        <v>107</v>
      </c>
      <c r="D95" t="s">
        <v>108</v>
      </c>
      <c r="E95">
        <v>500</v>
      </c>
      <c r="F95" t="s">
        <v>224</v>
      </c>
    </row>
    <row r="96" spans="1:6" customHeight="1" ht="13.8">
      <c r="A96" t="s">
        <v>23</v>
      </c>
      <c r="B96" t="s">
        <v>24</v>
      </c>
      <c r="C96" s="1" t="s">
        <v>25</v>
      </c>
      <c r="D96" t="s">
        <v>26</v>
      </c>
      <c r="E96">
        <v>500</v>
      </c>
      <c r="F96" t="s">
        <v>224</v>
      </c>
    </row>
    <row r="97" spans="1:6" customHeight="1" ht="13.8">
      <c r="A97" t="s">
        <v>113</v>
      </c>
      <c r="B97" t="s">
        <v>114</v>
      </c>
      <c r="C97" s="1" t="s">
        <v>115</v>
      </c>
      <c r="D97" t="s">
        <v>116</v>
      </c>
      <c r="E97">
        <v>500</v>
      </c>
      <c r="F97" t="s">
        <v>224</v>
      </c>
    </row>
    <row r="98" spans="1:6" customHeight="1" ht="13.8">
      <c r="A98" t="s">
        <v>109</v>
      </c>
      <c r="B98" t="s">
        <v>110</v>
      </c>
      <c r="C98" s="1" t="s">
        <v>111</v>
      </c>
      <c r="D98" t="s">
        <v>112</v>
      </c>
      <c r="E98">
        <v>500</v>
      </c>
      <c r="F98" t="s">
        <v>224</v>
      </c>
    </row>
    <row r="99" spans="1:6" customHeight="1" ht="13.8">
      <c r="A99" t="s">
        <v>109</v>
      </c>
      <c r="B99" t="s">
        <v>110</v>
      </c>
      <c r="C99" s="1" t="s">
        <v>111</v>
      </c>
      <c r="D99" t="s">
        <v>112</v>
      </c>
      <c r="E99">
        <v>5000</v>
      </c>
      <c r="F99" t="s">
        <v>225</v>
      </c>
    </row>
    <row r="100" spans="1:6" customHeight="1" ht="13.8">
      <c r="A100" t="s">
        <v>226</v>
      </c>
      <c r="B100" t="s">
        <v>227</v>
      </c>
      <c r="C100" s="1" t="s">
        <v>228</v>
      </c>
      <c r="D100" t="s">
        <v>229</v>
      </c>
      <c r="E100">
        <v>5000</v>
      </c>
      <c r="F100" t="s">
        <v>225</v>
      </c>
    </row>
    <row r="101" spans="1:6" customHeight="1" ht="13.8">
      <c r="A101" t="s">
        <v>230</v>
      </c>
      <c r="B101" t="s">
        <v>231</v>
      </c>
      <c r="C101" s="1" t="s">
        <v>232</v>
      </c>
      <c r="D101" t="s">
        <v>233</v>
      </c>
      <c r="E101">
        <v>5000</v>
      </c>
      <c r="F101" t="s">
        <v>225</v>
      </c>
    </row>
    <row r="102" spans="1:6" customHeight="1" ht="13.8">
      <c r="A102" t="s">
        <v>234</v>
      </c>
      <c r="B102" t="s">
        <v>235</v>
      </c>
      <c r="C102" s="1" t="s">
        <v>236</v>
      </c>
      <c r="D102" t="s">
        <v>237</v>
      </c>
      <c r="E102">
        <v>5000</v>
      </c>
      <c r="F102" t="s">
        <v>225</v>
      </c>
    </row>
    <row r="103" spans="1:6" customHeight="1" ht="13.8">
      <c r="A103" t="s">
        <v>155</v>
      </c>
      <c r="B103" t="s">
        <v>156</v>
      </c>
      <c r="C103" s="1" t="s">
        <v>157</v>
      </c>
      <c r="D103" t="s">
        <v>158</v>
      </c>
      <c r="E103">
        <v>5000</v>
      </c>
      <c r="F103" t="s">
        <v>225</v>
      </c>
    </row>
    <row r="104" spans="1:6" customHeight="1" ht="13.8">
      <c r="A104" t="s">
        <v>49</v>
      </c>
      <c r="B104" t="s">
        <v>50</v>
      </c>
      <c r="C104" s="1" t="s">
        <v>51</v>
      </c>
      <c r="D104" t="s">
        <v>52</v>
      </c>
      <c r="E104">
        <v>5000</v>
      </c>
      <c r="F104" t="s">
        <v>225</v>
      </c>
    </row>
    <row r="105" spans="1:6" customHeight="1" ht="13.8">
      <c r="A105" t="s">
        <v>238</v>
      </c>
      <c r="B105" t="s">
        <v>239</v>
      </c>
      <c r="C105" s="1" t="s">
        <v>240</v>
      </c>
      <c r="D105" t="s">
        <v>241</v>
      </c>
      <c r="E105">
        <v>5000</v>
      </c>
      <c r="F105" t="s">
        <v>225</v>
      </c>
    </row>
    <row r="106" spans="1:6" customHeight="1" ht="13.8">
      <c r="A106" t="s">
        <v>57</v>
      </c>
      <c r="B106" t="s">
        <v>58</v>
      </c>
      <c r="C106">
        <v>121104263</v>
      </c>
      <c r="D106" t="s">
        <v>59</v>
      </c>
      <c r="E106">
        <v>5000</v>
      </c>
      <c r="F106" t="s">
        <v>225</v>
      </c>
    </row>
    <row r="107" spans="1:6" customHeight="1" ht="13.8">
      <c r="A107" t="s">
        <v>84</v>
      </c>
      <c r="B107" t="s">
        <v>85</v>
      </c>
      <c r="C107" s="1" t="s">
        <v>86</v>
      </c>
      <c r="D107" t="s">
        <v>87</v>
      </c>
      <c r="E107">
        <v>5000</v>
      </c>
      <c r="F107" t="s">
        <v>225</v>
      </c>
    </row>
    <row r="108" spans="1:6" customHeight="1" ht="13.8">
      <c r="A108" t="s">
        <v>242</v>
      </c>
      <c r="B108" t="s">
        <v>243</v>
      </c>
      <c r="C108" s="1" t="s">
        <v>244</v>
      </c>
      <c r="D108" t="s">
        <v>245</v>
      </c>
      <c r="E108">
        <v>5000</v>
      </c>
      <c r="F108" t="s">
        <v>225</v>
      </c>
    </row>
    <row r="109" spans="1:6" customHeight="1" ht="13.8">
      <c r="A109" t="s">
        <v>246</v>
      </c>
      <c r="B109" t="s">
        <v>247</v>
      </c>
      <c r="C109" s="1" t="s">
        <v>248</v>
      </c>
      <c r="D109" t="s">
        <v>249</v>
      </c>
      <c r="E109">
        <v>5000</v>
      </c>
      <c r="F109" t="s">
        <v>225</v>
      </c>
    </row>
    <row r="110" spans="1:6" customHeight="1" ht="13.8">
      <c r="A110" t="s">
        <v>250</v>
      </c>
      <c r="B110" t="s">
        <v>251</v>
      </c>
      <c r="C110" s="1" t="s">
        <v>252</v>
      </c>
      <c r="D110" t="s">
        <v>253</v>
      </c>
      <c r="E110">
        <v>15000</v>
      </c>
      <c r="F110" t="s">
        <v>254</v>
      </c>
    </row>
    <row r="111" spans="1:6" customHeight="1" ht="13.8">
      <c r="A111" t="s">
        <v>255</v>
      </c>
      <c r="B111" t="s">
        <v>256</v>
      </c>
      <c r="C111" s="1" t="s">
        <v>257</v>
      </c>
      <c r="D111" t="s">
        <v>258</v>
      </c>
      <c r="E111">
        <v>23000</v>
      </c>
      <c r="F111" t="s">
        <v>259</v>
      </c>
    </row>
    <row r="112" spans="1:6" customHeight="1" ht="13.8">
      <c r="A112" t="s">
        <v>260</v>
      </c>
      <c r="B112" t="s">
        <v>261</v>
      </c>
      <c r="C112" s="1" t="s">
        <v>262</v>
      </c>
      <c r="D112" t="s">
        <v>263</v>
      </c>
      <c r="E112">
        <v>23000</v>
      </c>
      <c r="F112" t="s">
        <v>259</v>
      </c>
    </row>
    <row r="113" spans="1:6" customHeight="1" ht="13.8">
      <c r="A113" t="s">
        <v>264</v>
      </c>
      <c r="B113" t="s">
        <v>265</v>
      </c>
      <c r="C113" s="1" t="s">
        <v>266</v>
      </c>
      <c r="D113" t="s">
        <v>267</v>
      </c>
      <c r="E113">
        <v>23000</v>
      </c>
      <c r="F113" t="s">
        <v>259</v>
      </c>
    </row>
    <row r="114" spans="1:6" customHeight="1" ht="13.8">
      <c r="A114" t="s">
        <v>268</v>
      </c>
      <c r="B114" t="s">
        <v>269</v>
      </c>
      <c r="C114" s="1" t="s">
        <v>270</v>
      </c>
      <c r="D114" t="s">
        <v>271</v>
      </c>
      <c r="E114">
        <v>23000</v>
      </c>
      <c r="F114" t="s">
        <v>259</v>
      </c>
    </row>
    <row r="115" spans="1:6" customHeight="1" ht="13.8">
      <c r="A115" t="s">
        <v>272</v>
      </c>
      <c r="B115" t="s">
        <v>273</v>
      </c>
      <c r="C115" s="1" t="s">
        <v>274</v>
      </c>
      <c r="D115" t="s">
        <v>275</v>
      </c>
      <c r="E115">
        <v>23000</v>
      </c>
      <c r="F115" t="s">
        <v>259</v>
      </c>
    </row>
    <row r="116" spans="1:6" customHeight="1" ht="13.8">
      <c r="A116" t="s">
        <v>276</v>
      </c>
      <c r="B116" t="s">
        <v>277</v>
      </c>
      <c r="C116">
        <v>117236549</v>
      </c>
      <c r="D116" t="s">
        <v>278</v>
      </c>
      <c r="E116">
        <v>9000</v>
      </c>
      <c r="F116" t="s">
        <v>279</v>
      </c>
    </row>
    <row r="117" spans="1:6" customHeight="1" ht="13.8">
      <c r="A117" t="s">
        <v>280</v>
      </c>
      <c r="B117" t="s">
        <v>281</v>
      </c>
      <c r="C117" s="1" t="s">
        <v>282</v>
      </c>
      <c r="D117" t="s">
        <v>283</v>
      </c>
      <c r="E117">
        <v>12000</v>
      </c>
      <c r="F117" t="s">
        <v>284</v>
      </c>
    </row>
    <row r="118" spans="1:6" customHeight="1" ht="13.8">
      <c r="A118" t="s">
        <v>23</v>
      </c>
      <c r="B118" t="s">
        <v>24</v>
      </c>
      <c r="C118" s="1" t="s">
        <v>25</v>
      </c>
      <c r="D118" t="s">
        <v>26</v>
      </c>
      <c r="E118">
        <v>500</v>
      </c>
      <c r="F118" t="s">
        <v>285</v>
      </c>
    </row>
    <row r="119" spans="1:6" customHeight="1" ht="13.8">
      <c r="A119" t="s">
        <v>101</v>
      </c>
      <c r="B119" t="s">
        <v>102</v>
      </c>
      <c r="C119">
        <v>105841072</v>
      </c>
      <c r="D119" t="s">
        <v>103</v>
      </c>
      <c r="E119">
        <v>500</v>
      </c>
      <c r="F119" t="s">
        <v>285</v>
      </c>
    </row>
    <row r="120" spans="1:6" customHeight="1" ht="13.8">
      <c r="A120" t="s">
        <v>194</v>
      </c>
      <c r="B120" t="s">
        <v>195</v>
      </c>
      <c r="C120">
        <v>121397629</v>
      </c>
      <c r="D120" t="s">
        <v>196</v>
      </c>
      <c r="E120">
        <v>500</v>
      </c>
      <c r="F120" t="s">
        <v>285</v>
      </c>
    </row>
    <row r="121" spans="1:6" customHeight="1" ht="13.8">
      <c r="A121" t="s">
        <v>109</v>
      </c>
      <c r="B121" t="s">
        <v>110</v>
      </c>
      <c r="C121" s="1" t="s">
        <v>111</v>
      </c>
      <c r="D121" t="s">
        <v>112</v>
      </c>
      <c r="E121">
        <v>500</v>
      </c>
      <c r="F121" t="s">
        <v>285</v>
      </c>
    </row>
    <row r="122" spans="1:6" customHeight="1" ht="13.8">
      <c r="A122" t="s">
        <v>109</v>
      </c>
      <c r="B122" t="s">
        <v>110</v>
      </c>
      <c r="C122" s="1" t="s">
        <v>111</v>
      </c>
      <c r="D122" t="s">
        <v>112</v>
      </c>
      <c r="E122">
        <v>3000</v>
      </c>
      <c r="F122" t="s">
        <v>286</v>
      </c>
    </row>
    <row r="123" spans="1:6" customHeight="1" ht="13.8">
      <c r="A123" t="s">
        <v>105</v>
      </c>
      <c r="B123" t="s">
        <v>106</v>
      </c>
      <c r="C123" s="1" t="s">
        <v>107</v>
      </c>
      <c r="D123" t="s">
        <v>108</v>
      </c>
      <c r="E123">
        <v>3000</v>
      </c>
      <c r="F123" t="s">
        <v>286</v>
      </c>
    </row>
    <row r="124" spans="1:6" customHeight="1" ht="13.8">
      <c r="A124" t="s">
        <v>109</v>
      </c>
      <c r="B124" t="s">
        <v>110</v>
      </c>
      <c r="C124" s="1" t="s">
        <v>111</v>
      </c>
      <c r="D124" t="s">
        <v>112</v>
      </c>
      <c r="E124">
        <v>500</v>
      </c>
      <c r="F124" t="s">
        <v>287</v>
      </c>
    </row>
    <row r="125" spans="1:6" customHeight="1" ht="13.8">
      <c r="A125" t="s">
        <v>23</v>
      </c>
      <c r="B125" t="s">
        <v>24</v>
      </c>
      <c r="C125" s="1" t="s">
        <v>25</v>
      </c>
      <c r="D125" t="s">
        <v>26</v>
      </c>
      <c r="E125">
        <v>500</v>
      </c>
      <c r="F125" t="s">
        <v>287</v>
      </c>
    </row>
    <row r="126" spans="1:6" customHeight="1" ht="13.8">
      <c r="A126" t="s">
        <v>288</v>
      </c>
      <c r="B126" t="s">
        <v>289</v>
      </c>
      <c r="C126">
        <v>102843716</v>
      </c>
      <c r="D126" t="s">
        <v>290</v>
      </c>
      <c r="E126">
        <v>500</v>
      </c>
      <c r="F126" t="s">
        <v>287</v>
      </c>
    </row>
    <row r="127" spans="1:6" customHeight="1" ht="13.8">
      <c r="A127" t="s">
        <v>291</v>
      </c>
      <c r="B127" t="s">
        <v>292</v>
      </c>
      <c r="C127">
        <v>105988441</v>
      </c>
      <c r="D127" t="s">
        <v>293</v>
      </c>
      <c r="E127">
        <v>500</v>
      </c>
      <c r="F127" t="s">
        <v>287</v>
      </c>
    </row>
    <row r="128" spans="1:6" customHeight="1" ht="13.8">
      <c r="A128" t="s">
        <v>101</v>
      </c>
      <c r="B128" t="s">
        <v>102</v>
      </c>
      <c r="C128">
        <v>105841072</v>
      </c>
      <c r="D128" t="s">
        <v>103</v>
      </c>
      <c r="E128">
        <v>500</v>
      </c>
      <c r="F128" t="s">
        <v>287</v>
      </c>
    </row>
    <row r="129" spans="1:6" customHeight="1" ht="13.8">
      <c r="A129" t="s">
        <v>32</v>
      </c>
      <c r="B129" t="s">
        <v>33</v>
      </c>
      <c r="D129" t="s">
        <v>34</v>
      </c>
      <c r="E129">
        <v>500</v>
      </c>
      <c r="F129" t="s">
        <v>287</v>
      </c>
    </row>
    <row r="130" spans="1:6" customHeight="1" ht="13.8">
      <c r="A130" t="s">
        <v>39</v>
      </c>
      <c r="B130" t="s">
        <v>40</v>
      </c>
      <c r="C130" s="1" t="s">
        <v>41</v>
      </c>
      <c r="D130" t="s">
        <v>42</v>
      </c>
      <c r="E130">
        <v>500</v>
      </c>
      <c r="F130" t="s">
        <v>287</v>
      </c>
    </row>
    <row r="131" spans="1:6" customHeight="1" ht="13.8">
      <c r="A131" t="s">
        <v>194</v>
      </c>
      <c r="B131" t="s">
        <v>195</v>
      </c>
      <c r="C131">
        <v>121397629</v>
      </c>
      <c r="D131" t="s">
        <v>196</v>
      </c>
      <c r="E131">
        <v>500</v>
      </c>
      <c r="F131" t="s">
        <v>287</v>
      </c>
    </row>
    <row r="132" spans="1:6" customHeight="1" ht="13.8">
      <c r="A132" t="s">
        <v>194</v>
      </c>
      <c r="B132" t="s">
        <v>195</v>
      </c>
      <c r="C132">
        <v>121397629</v>
      </c>
      <c r="D132" t="s">
        <v>196</v>
      </c>
      <c r="E132">
        <v>500</v>
      </c>
      <c r="F132" t="s">
        <v>294</v>
      </c>
    </row>
    <row r="133" spans="1:6" customHeight="1" ht="13.8">
      <c r="A133" t="s">
        <v>109</v>
      </c>
      <c r="B133" t="s">
        <v>110</v>
      </c>
      <c r="C133" s="1" t="s">
        <v>111</v>
      </c>
      <c r="D133" t="s">
        <v>112</v>
      </c>
      <c r="E133">
        <v>500</v>
      </c>
      <c r="F133" t="s">
        <v>294</v>
      </c>
    </row>
    <row r="134" spans="1:6" customHeight="1" ht="13.8">
      <c r="A134" t="s">
        <v>295</v>
      </c>
      <c r="B134" t="s">
        <v>296</v>
      </c>
      <c r="C134" s="1" t="s">
        <v>297</v>
      </c>
      <c r="D134" t="s">
        <v>298</v>
      </c>
      <c r="E134">
        <v>500</v>
      </c>
      <c r="F134" t="s">
        <v>294</v>
      </c>
    </row>
    <row r="135" spans="1:6" customHeight="1" ht="13.8">
      <c r="A135" t="s">
        <v>211</v>
      </c>
      <c r="B135" t="s">
        <v>212</v>
      </c>
      <c r="C135" s="1" t="s">
        <v>213</v>
      </c>
      <c r="D135" t="s">
        <v>214</v>
      </c>
      <c r="E135">
        <v>500</v>
      </c>
      <c r="F135" t="s">
        <v>294</v>
      </c>
    </row>
    <row r="136" spans="1:6" customHeight="1" ht="13.8">
      <c r="A136" t="s">
        <v>101</v>
      </c>
      <c r="B136" t="s">
        <v>102</v>
      </c>
      <c r="C136">
        <v>105841072</v>
      </c>
      <c r="D136" t="s">
        <v>103</v>
      </c>
      <c r="E136">
        <v>500</v>
      </c>
      <c r="F136" t="s">
        <v>294</v>
      </c>
    </row>
    <row r="137" spans="1:6" customHeight="1" ht="13.8">
      <c r="A137" t="s">
        <v>291</v>
      </c>
      <c r="B137" t="s">
        <v>292</v>
      </c>
      <c r="C137">
        <v>105988441</v>
      </c>
      <c r="D137" t="s">
        <v>293</v>
      </c>
      <c r="E137">
        <v>500</v>
      </c>
      <c r="F137" t="s">
        <v>294</v>
      </c>
    </row>
    <row r="138" spans="1:6" customHeight="1" ht="13.8">
      <c r="A138" t="s">
        <v>23</v>
      </c>
      <c r="B138" t="s">
        <v>24</v>
      </c>
      <c r="C138" s="1" t="s">
        <v>25</v>
      </c>
      <c r="D138" t="s">
        <v>26</v>
      </c>
      <c r="E138">
        <v>500</v>
      </c>
      <c r="F138" t="s">
        <v>294</v>
      </c>
    </row>
    <row r="139" spans="1:6" customHeight="1" ht="13.8">
      <c r="A139" t="s">
        <v>105</v>
      </c>
      <c r="B139" t="s">
        <v>106</v>
      </c>
      <c r="C139" s="1" t="s">
        <v>107</v>
      </c>
      <c r="D139" t="s">
        <v>108</v>
      </c>
      <c r="E139">
        <v>500</v>
      </c>
      <c r="F139" t="s">
        <v>294</v>
      </c>
    </row>
    <row r="140" spans="1:6" customHeight="1" ht="13.8">
      <c r="A140" t="s">
        <v>101</v>
      </c>
      <c r="B140" t="s">
        <v>102</v>
      </c>
      <c r="C140">
        <v>105841072</v>
      </c>
      <c r="D140" t="s">
        <v>103</v>
      </c>
      <c r="E140">
        <v>1500</v>
      </c>
      <c r="F140" t="s">
        <v>299</v>
      </c>
    </row>
    <row r="141" spans="1:6" customHeight="1" ht="13.8">
      <c r="A141" t="s">
        <v>97</v>
      </c>
      <c r="B141" t="s">
        <v>98</v>
      </c>
      <c r="C141">
        <v>138671170</v>
      </c>
      <c r="D141" t="s">
        <v>99</v>
      </c>
      <c r="E141">
        <v>1500</v>
      </c>
      <c r="F141" t="s">
        <v>299</v>
      </c>
    </row>
    <row r="142" spans="1:6" customHeight="1" ht="13.8">
      <c r="A142" t="s">
        <v>300</v>
      </c>
      <c r="B142" t="s">
        <v>301</v>
      </c>
      <c r="C142" s="1" t="s">
        <v>302</v>
      </c>
      <c r="D142" t="s">
        <v>303</v>
      </c>
      <c r="E142">
        <v>1500</v>
      </c>
      <c r="F142" t="s">
        <v>299</v>
      </c>
    </row>
    <row r="143" spans="1:6" customHeight="1" ht="13.8">
      <c r="A143" t="s">
        <v>300</v>
      </c>
      <c r="B143" t="s">
        <v>301</v>
      </c>
      <c r="C143" s="1" t="s">
        <v>302</v>
      </c>
      <c r="D143" t="s">
        <v>303</v>
      </c>
      <c r="E143">
        <v>1000</v>
      </c>
      <c r="F143" t="s">
        <v>304</v>
      </c>
    </row>
    <row r="144" spans="1:6" customHeight="1" ht="13.8">
      <c r="A144" t="s">
        <v>97</v>
      </c>
      <c r="B144" t="s">
        <v>98</v>
      </c>
      <c r="C144">
        <v>138671170</v>
      </c>
      <c r="D144" t="s">
        <v>99</v>
      </c>
      <c r="E144">
        <v>1000</v>
      </c>
      <c r="F144" t="s">
        <v>304</v>
      </c>
    </row>
    <row r="145" spans="1:6" customHeight="1" ht="13.8">
      <c r="A145" t="s">
        <v>101</v>
      </c>
      <c r="B145" t="s">
        <v>102</v>
      </c>
      <c r="C145">
        <v>105841072</v>
      </c>
      <c r="D145" t="s">
        <v>103</v>
      </c>
      <c r="E145">
        <v>1000</v>
      </c>
      <c r="F145" t="s">
        <v>304</v>
      </c>
    </row>
    <row r="146" spans="1:6" customHeight="1" ht="13.8">
      <c r="A146" t="s">
        <v>39</v>
      </c>
      <c r="B146" t="s">
        <v>40</v>
      </c>
      <c r="C146" s="1" t="s">
        <v>41</v>
      </c>
      <c r="D146" t="s">
        <v>42</v>
      </c>
      <c r="E146">
        <v>1000</v>
      </c>
      <c r="F146" t="s">
        <v>304</v>
      </c>
    </row>
    <row r="147" spans="1:6" customHeight="1" ht="13.8">
      <c r="A147" t="s">
        <v>305</v>
      </c>
      <c r="B147" t="s">
        <v>306</v>
      </c>
      <c r="C147" s="1" t="s">
        <v>307</v>
      </c>
      <c r="D147" t="s">
        <v>308</v>
      </c>
      <c r="E147">
        <v>6000</v>
      </c>
      <c r="F147" t="s">
        <v>309</v>
      </c>
    </row>
    <row r="148" spans="1:6" customHeight="1" ht="13.8">
      <c r="A148" t="s">
        <v>310</v>
      </c>
      <c r="B148" t="s">
        <v>311</v>
      </c>
      <c r="C148" s="1" t="s">
        <v>312</v>
      </c>
      <c r="D148" t="s">
        <v>313</v>
      </c>
      <c r="E148">
        <v>6000</v>
      </c>
      <c r="F148" t="s">
        <v>309</v>
      </c>
    </row>
    <row r="149" spans="1:6" customHeight="1" ht="13.8">
      <c r="A149" t="s">
        <v>314</v>
      </c>
      <c r="B149" t="s">
        <v>315</v>
      </c>
      <c r="C149" s="1" t="s">
        <v>316</v>
      </c>
      <c r="D149" t="s">
        <v>317</v>
      </c>
      <c r="E149">
        <v>6000</v>
      </c>
      <c r="F149" t="s">
        <v>309</v>
      </c>
    </row>
    <row r="150" spans="1:6" customHeight="1" ht="13.8">
      <c r="A150" t="s">
        <v>28</v>
      </c>
      <c r="B150" t="s">
        <v>29</v>
      </c>
      <c r="C150" s="1" t="s">
        <v>30</v>
      </c>
      <c r="D150" t="s">
        <v>31</v>
      </c>
      <c r="E150">
        <v>6000</v>
      </c>
      <c r="F150" t="s">
        <v>309</v>
      </c>
    </row>
    <row r="151" spans="1:6" customHeight="1" ht="13.8">
      <c r="A151" t="s">
        <v>92</v>
      </c>
      <c r="B151" t="s">
        <v>93</v>
      </c>
      <c r="C151" s="1" t="s">
        <v>94</v>
      </c>
      <c r="D151" t="s">
        <v>95</v>
      </c>
      <c r="E151">
        <v>6000</v>
      </c>
      <c r="F151" t="s">
        <v>309</v>
      </c>
    </row>
    <row r="152" spans="1:6" customHeight="1" ht="13.8">
      <c r="A152" t="s">
        <v>15</v>
      </c>
      <c r="B152" t="s">
        <v>16</v>
      </c>
      <c r="C152" s="1" t="s">
        <v>17</v>
      </c>
      <c r="D152" t="s">
        <v>18</v>
      </c>
      <c r="E152">
        <v>6000</v>
      </c>
      <c r="F152" t="s">
        <v>309</v>
      </c>
    </row>
    <row r="153" spans="1:6" customHeight="1" ht="13.8">
      <c r="A153" t="s">
        <v>318</v>
      </c>
      <c r="B153" t="s">
        <v>319</v>
      </c>
      <c r="C153" s="1" t="s">
        <v>320</v>
      </c>
      <c r="D153" t="s">
        <v>321</v>
      </c>
      <c r="E153">
        <v>6000</v>
      </c>
      <c r="F153" t="s">
        <v>309</v>
      </c>
    </row>
    <row r="154" spans="1:6" customHeight="1" ht="13.8">
      <c r="A154" t="s">
        <v>322</v>
      </c>
      <c r="B154" t="s">
        <v>315</v>
      </c>
      <c r="C154" s="1" t="s">
        <v>316</v>
      </c>
      <c r="D154" t="s">
        <v>323</v>
      </c>
      <c r="E154">
        <v>6000</v>
      </c>
      <c r="F154" t="s">
        <v>309</v>
      </c>
    </row>
    <row r="155" spans="1:6" customHeight="1" ht="13.8">
      <c r="A155" t="s">
        <v>324</v>
      </c>
      <c r="B155" t="s">
        <v>315</v>
      </c>
      <c r="C155" s="1" t="s">
        <v>316</v>
      </c>
      <c r="D155" t="s">
        <v>325</v>
      </c>
      <c r="E155">
        <v>-6000</v>
      </c>
      <c r="F155" t="s">
        <v>309</v>
      </c>
    </row>
    <row r="156" spans="1:6" customHeight="1" ht="13.8">
      <c r="A156" t="s">
        <v>326</v>
      </c>
      <c r="B156" t="s">
        <v>315</v>
      </c>
      <c r="C156" s="1" t="s">
        <v>316</v>
      </c>
      <c r="D156" t="s">
        <v>327</v>
      </c>
      <c r="E156">
        <v>6000</v>
      </c>
      <c r="F156" t="s">
        <v>309</v>
      </c>
    </row>
    <row r="157" spans="1:6" customHeight="1" ht="13.8">
      <c r="A157" t="s">
        <v>328</v>
      </c>
      <c r="B157" t="s">
        <v>315</v>
      </c>
      <c r="C157" s="1" t="s">
        <v>316</v>
      </c>
      <c r="D157" t="s">
        <v>327</v>
      </c>
      <c r="E157">
        <v>-6000</v>
      </c>
      <c r="F157" t="s">
        <v>309</v>
      </c>
    </row>
    <row r="158" spans="1:6" customHeight="1" ht="13.8">
      <c r="A158" t="s">
        <v>329</v>
      </c>
      <c r="B158" t="s">
        <v>315</v>
      </c>
      <c r="C158" s="1" t="s">
        <v>316</v>
      </c>
      <c r="D158" t="s">
        <v>330</v>
      </c>
      <c r="E158">
        <v>6000</v>
      </c>
      <c r="F158" t="s">
        <v>309</v>
      </c>
    </row>
    <row r="159" spans="1:6" customHeight="1" ht="13.8">
      <c r="A159" t="s">
        <v>295</v>
      </c>
      <c r="B159" t="s">
        <v>296</v>
      </c>
      <c r="C159" s="1" t="s">
        <v>297</v>
      </c>
      <c r="D159" t="s">
        <v>298</v>
      </c>
      <c r="E159">
        <v>500</v>
      </c>
      <c r="F159" t="s">
        <v>331</v>
      </c>
    </row>
    <row r="160" spans="1:6" customHeight="1" ht="13.8">
      <c r="A160" t="s">
        <v>109</v>
      </c>
      <c r="B160" t="s">
        <v>110</v>
      </c>
      <c r="C160" s="1" t="s">
        <v>111</v>
      </c>
      <c r="D160" t="s">
        <v>112</v>
      </c>
      <c r="E160">
        <v>500</v>
      </c>
      <c r="F160" t="s">
        <v>331</v>
      </c>
    </row>
    <row r="161" spans="1:6" customHeight="1" ht="13.8">
      <c r="A161" t="s">
        <v>194</v>
      </c>
      <c r="B161" t="s">
        <v>195</v>
      </c>
      <c r="C161">
        <v>121397629</v>
      </c>
      <c r="D161" t="s">
        <v>196</v>
      </c>
      <c r="E161">
        <v>500</v>
      </c>
      <c r="F161" t="s">
        <v>331</v>
      </c>
    </row>
    <row r="162" spans="1:6" customHeight="1" ht="13.8">
      <c r="A162" t="s">
        <v>291</v>
      </c>
      <c r="B162" t="s">
        <v>292</v>
      </c>
      <c r="C162">
        <v>105988441</v>
      </c>
      <c r="D162" t="s">
        <v>293</v>
      </c>
      <c r="E162">
        <v>500</v>
      </c>
      <c r="F162" t="s">
        <v>331</v>
      </c>
    </row>
    <row r="163" spans="1:6" customHeight="1" ht="13.8">
      <c r="A163" t="s">
        <v>332</v>
      </c>
      <c r="B163" t="s">
        <v>333</v>
      </c>
      <c r="C163" s="1" t="s">
        <v>334</v>
      </c>
      <c r="D163" t="s">
        <v>335</v>
      </c>
      <c r="E163">
        <v>500</v>
      </c>
      <c r="F163" t="s">
        <v>331</v>
      </c>
    </row>
    <row r="164" spans="1:6" customHeight="1" ht="13.8">
      <c r="A164" t="s">
        <v>23</v>
      </c>
      <c r="B164" t="s">
        <v>24</v>
      </c>
      <c r="C164" s="1" t="s">
        <v>25</v>
      </c>
      <c r="D164" t="s">
        <v>26</v>
      </c>
      <c r="E164">
        <v>500</v>
      </c>
      <c r="F164" t="s">
        <v>331</v>
      </c>
    </row>
    <row r="165" spans="1:6" customHeight="1" ht="13.8">
      <c r="A165" t="s">
        <v>105</v>
      </c>
      <c r="B165" t="s">
        <v>106</v>
      </c>
      <c r="C165" s="1" t="s">
        <v>107</v>
      </c>
      <c r="D165" t="s">
        <v>108</v>
      </c>
      <c r="E165">
        <v>500</v>
      </c>
      <c r="F165" t="s">
        <v>331</v>
      </c>
    </row>
    <row r="166" spans="1:6" customHeight="1" ht="13.8">
      <c r="A166" t="s">
        <v>101</v>
      </c>
      <c r="B166" t="s">
        <v>102</v>
      </c>
      <c r="C166">
        <v>105841072</v>
      </c>
      <c r="D166" t="s">
        <v>103</v>
      </c>
      <c r="E166">
        <v>500</v>
      </c>
      <c r="F166" t="s">
        <v>331</v>
      </c>
    </row>
    <row r="167" spans="1:6" customHeight="1" ht="13.8">
      <c r="A167" t="s">
        <v>211</v>
      </c>
      <c r="B167" t="s">
        <v>212</v>
      </c>
      <c r="C167" s="1" t="s">
        <v>213</v>
      </c>
      <c r="D167" t="s">
        <v>214</v>
      </c>
      <c r="E167">
        <v>500</v>
      </c>
      <c r="F167" t="s">
        <v>331</v>
      </c>
    </row>
    <row r="168" spans="1:6" customHeight="1" ht="13.8">
      <c r="A168" t="s">
        <v>336</v>
      </c>
      <c r="B168" t="s">
        <v>337</v>
      </c>
      <c r="C168" s="1" t="s">
        <v>338</v>
      </c>
      <c r="D168" t="s">
        <v>339</v>
      </c>
      <c r="E168">
        <v>5500</v>
      </c>
      <c r="F168" t="s">
        <v>340</v>
      </c>
    </row>
    <row r="169" spans="1:6" customHeight="1" ht="13.8">
      <c r="A169" t="s">
        <v>28</v>
      </c>
      <c r="B169" t="s">
        <v>29</v>
      </c>
      <c r="C169" s="1" t="s">
        <v>30</v>
      </c>
      <c r="D169" t="s">
        <v>31</v>
      </c>
      <c r="E169">
        <v>5500</v>
      </c>
      <c r="F169" t="s">
        <v>340</v>
      </c>
    </row>
    <row r="170" spans="1:6" customHeight="1" ht="13.8">
      <c r="A170" t="s">
        <v>92</v>
      </c>
      <c r="B170" t="s">
        <v>93</v>
      </c>
      <c r="C170" s="1" t="s">
        <v>94</v>
      </c>
      <c r="D170" t="s">
        <v>95</v>
      </c>
      <c r="E170">
        <v>5500</v>
      </c>
      <c r="F170" t="s">
        <v>340</v>
      </c>
    </row>
    <row r="171" spans="1:6" customHeight="1" ht="13.8">
      <c r="A171" t="s">
        <v>44</v>
      </c>
      <c r="B171" t="s">
        <v>45</v>
      </c>
      <c r="C171" s="1" t="s">
        <v>46</v>
      </c>
      <c r="D171" t="s">
        <v>47</v>
      </c>
      <c r="E171">
        <v>5500</v>
      </c>
      <c r="F171" t="s">
        <v>340</v>
      </c>
    </row>
    <row r="172" spans="1:6" customHeight="1" ht="13.8">
      <c r="A172" t="s">
        <v>341</v>
      </c>
      <c r="B172" t="s">
        <v>342</v>
      </c>
      <c r="C172" s="1" t="s">
        <v>343</v>
      </c>
      <c r="D172" t="s">
        <v>344</v>
      </c>
      <c r="E172">
        <v>5500</v>
      </c>
      <c r="F172" t="s">
        <v>340</v>
      </c>
    </row>
    <row r="173" spans="1:6" customHeight="1" ht="13.8">
      <c r="A173" t="s">
        <v>53</v>
      </c>
      <c r="B173" t="s">
        <v>54</v>
      </c>
      <c r="C173" s="1" t="s">
        <v>55</v>
      </c>
      <c r="D173" t="s">
        <v>56</v>
      </c>
      <c r="E173">
        <v>1000</v>
      </c>
      <c r="F173" t="s">
        <v>345</v>
      </c>
    </row>
    <row r="174" spans="1:6" customHeight="1" ht="13.8">
      <c r="A174" t="s">
        <v>57</v>
      </c>
      <c r="B174" t="s">
        <v>58</v>
      </c>
      <c r="C174">
        <v>121104263</v>
      </c>
      <c r="D174" t="s">
        <v>59</v>
      </c>
      <c r="E174">
        <v>1000</v>
      </c>
      <c r="F174" t="s">
        <v>345</v>
      </c>
    </row>
    <row r="175" spans="1:6" customHeight="1" ht="13.8">
      <c r="A175" t="s">
        <v>60</v>
      </c>
      <c r="B175" t="s">
        <v>61</v>
      </c>
      <c r="C175" s="1" t="s">
        <v>62</v>
      </c>
      <c r="D175" t="s">
        <v>63</v>
      </c>
      <c r="E175">
        <v>1000</v>
      </c>
      <c r="F175" t="s">
        <v>345</v>
      </c>
    </row>
    <row r="176" spans="1:6" customHeight="1" ht="13.8">
      <c r="A176" t="s">
        <v>28</v>
      </c>
      <c r="B176" t="s">
        <v>29</v>
      </c>
      <c r="C176" s="1" t="s">
        <v>30</v>
      </c>
      <c r="D176" t="s">
        <v>31</v>
      </c>
      <c r="E176">
        <v>1000</v>
      </c>
      <c r="F176" t="s">
        <v>345</v>
      </c>
    </row>
    <row r="177" spans="1:6" customHeight="1" ht="13.8">
      <c r="A177" t="s">
        <v>49</v>
      </c>
      <c r="B177" t="s">
        <v>50</v>
      </c>
      <c r="C177" s="1" t="s">
        <v>51</v>
      </c>
      <c r="D177" t="s">
        <v>52</v>
      </c>
      <c r="E177">
        <v>1000</v>
      </c>
      <c r="F177" t="s">
        <v>345</v>
      </c>
    </row>
    <row r="178" spans="1:6" customHeight="1" ht="13.8">
      <c r="A178" t="s">
        <v>39</v>
      </c>
      <c r="B178" t="s">
        <v>40</v>
      </c>
      <c r="C178" s="1" t="s">
        <v>41</v>
      </c>
      <c r="D178" t="s">
        <v>42</v>
      </c>
      <c r="E178">
        <v>1000</v>
      </c>
      <c r="F178" t="s">
        <v>345</v>
      </c>
    </row>
    <row r="179" spans="1:6" customHeight="1" ht="13.8">
      <c r="A179" t="s">
        <v>64</v>
      </c>
      <c r="B179" t="s">
        <v>65</v>
      </c>
      <c r="C179">
        <v>109844707</v>
      </c>
      <c r="D179" t="s">
        <v>66</v>
      </c>
      <c r="E179">
        <v>1000</v>
      </c>
      <c r="F179" t="s">
        <v>345</v>
      </c>
    </row>
    <row r="180" spans="1:6" customHeight="1" ht="13.8">
      <c r="A180" t="s">
        <v>346</v>
      </c>
      <c r="B180" t="s">
        <v>347</v>
      </c>
      <c r="C180" s="1" t="s">
        <v>348</v>
      </c>
      <c r="D180" t="s">
        <v>349</v>
      </c>
      <c r="E180">
        <v>7200</v>
      </c>
      <c r="F180" t="s">
        <v>350</v>
      </c>
    </row>
    <row r="181" spans="1:6" customHeight="1" ht="13.8">
      <c r="A181" t="s">
        <v>276</v>
      </c>
      <c r="B181" t="s">
        <v>277</v>
      </c>
      <c r="C181">
        <v>117236549</v>
      </c>
      <c r="D181" t="s">
        <v>278</v>
      </c>
      <c r="E181">
        <v>7500</v>
      </c>
      <c r="F181" t="s">
        <v>351</v>
      </c>
    </row>
    <row r="182" spans="1:6" customHeight="1" ht="13.8">
      <c r="A182" t="s">
        <v>23</v>
      </c>
      <c r="B182" t="s">
        <v>24</v>
      </c>
      <c r="C182" s="1" t="s">
        <v>25</v>
      </c>
      <c r="D182" t="s">
        <v>26</v>
      </c>
      <c r="E182">
        <v>500</v>
      </c>
      <c r="F182" t="s">
        <v>352</v>
      </c>
    </row>
    <row r="183" spans="1:6" customHeight="1" ht="13.8">
      <c r="A183" t="s">
        <v>32</v>
      </c>
      <c r="B183" t="s">
        <v>33</v>
      </c>
      <c r="D183" t="s">
        <v>34</v>
      </c>
      <c r="E183">
        <v>500</v>
      </c>
      <c r="F183" t="s">
        <v>352</v>
      </c>
    </row>
    <row r="184" spans="1:6" customHeight="1" ht="13.8">
      <c r="A184" t="s">
        <v>353</v>
      </c>
      <c r="B184" t="s">
        <v>354</v>
      </c>
      <c r="C184" s="1" t="s">
        <v>355</v>
      </c>
      <c r="D184" t="s">
        <v>356</v>
      </c>
      <c r="E184">
        <v>500</v>
      </c>
      <c r="F184" t="s">
        <v>352</v>
      </c>
    </row>
    <row r="185" spans="1:6" customHeight="1" ht="13.8">
      <c r="A185" t="s">
        <v>357</v>
      </c>
      <c r="B185" t="s">
        <v>358</v>
      </c>
      <c r="C185" s="1" t="s">
        <v>359</v>
      </c>
      <c r="D185" t="s">
        <v>360</v>
      </c>
      <c r="E185">
        <v>7000</v>
      </c>
      <c r="F185" t="s">
        <v>361</v>
      </c>
    </row>
    <row r="186" spans="1:6" customHeight="1" ht="13.8">
      <c r="A186" t="s">
        <v>362</v>
      </c>
      <c r="B186" t="s">
        <v>363</v>
      </c>
      <c r="C186">
        <v>108218172</v>
      </c>
      <c r="D186" t="s">
        <v>364</v>
      </c>
      <c r="E186">
        <v>7000</v>
      </c>
      <c r="F186" t="s">
        <v>361</v>
      </c>
    </row>
    <row r="187" spans="1:6" customHeight="1" ht="13.8">
      <c r="A187" t="s">
        <v>365</v>
      </c>
      <c r="B187" t="s">
        <v>366</v>
      </c>
      <c r="C187">
        <v>119273924</v>
      </c>
      <c r="D187" t="s">
        <v>367</v>
      </c>
      <c r="E187">
        <v>7000</v>
      </c>
      <c r="F187" t="s">
        <v>361</v>
      </c>
    </row>
    <row r="188" spans="1:6" customHeight="1" ht="13.8">
      <c r="A188" t="s">
        <v>368</v>
      </c>
      <c r="B188" t="s">
        <v>369</v>
      </c>
      <c r="C188" s="1" t="s">
        <v>370</v>
      </c>
      <c r="D188" t="s">
        <v>371</v>
      </c>
      <c r="E188">
        <v>7000</v>
      </c>
      <c r="F188" t="s">
        <v>361</v>
      </c>
    </row>
    <row r="189" spans="1:6" customHeight="1" ht="13.8">
      <c r="A189" t="s">
        <v>372</v>
      </c>
      <c r="B189" t="s">
        <v>373</v>
      </c>
      <c r="C189">
        <v>110560584</v>
      </c>
      <c r="D189" t="s">
        <v>374</v>
      </c>
      <c r="E189">
        <v>7000</v>
      </c>
      <c r="F189" t="s">
        <v>361</v>
      </c>
    </row>
    <row r="190" spans="1:6" customHeight="1" ht="13.8">
      <c r="A190" t="s">
        <v>375</v>
      </c>
      <c r="B190" t="s">
        <v>376</v>
      </c>
      <c r="C190">
        <v>123957450</v>
      </c>
      <c r="D190" t="s">
        <v>377</v>
      </c>
      <c r="E190">
        <v>7000</v>
      </c>
      <c r="F190" t="s">
        <v>361</v>
      </c>
    </row>
    <row r="191" spans="1:6" customHeight="1" ht="13.8">
      <c r="A191" t="s">
        <v>378</v>
      </c>
      <c r="B191" t="s">
        <v>379</v>
      </c>
      <c r="C191">
        <v>106343397</v>
      </c>
      <c r="D191" t="s">
        <v>380</v>
      </c>
      <c r="E191">
        <v>7000</v>
      </c>
      <c r="F191" t="s">
        <v>361</v>
      </c>
    </row>
    <row r="192" spans="1:6" customHeight="1" ht="13.8">
      <c r="A192" t="s">
        <v>381</v>
      </c>
      <c r="B192" t="s">
        <v>382</v>
      </c>
      <c r="C192">
        <v>114405517</v>
      </c>
      <c r="D192" t="s">
        <v>383</v>
      </c>
      <c r="E192">
        <v>7000</v>
      </c>
      <c r="F192" t="s">
        <v>361</v>
      </c>
    </row>
    <row r="193" spans="1:6" customHeight="1" ht="13.8">
      <c r="A193" t="s">
        <v>384</v>
      </c>
      <c r="B193" t="s">
        <v>385</v>
      </c>
      <c r="C193">
        <v>141225690</v>
      </c>
      <c r="D193" t="s">
        <v>386</v>
      </c>
      <c r="E193">
        <v>7000</v>
      </c>
      <c r="F193" t="s">
        <v>361</v>
      </c>
    </row>
    <row r="194" spans="1:6" customHeight="1" ht="13.8">
      <c r="A194" t="s">
        <v>387</v>
      </c>
      <c r="B194" t="s">
        <v>388</v>
      </c>
      <c r="C194" s="1" t="s">
        <v>389</v>
      </c>
      <c r="D194" t="s">
        <v>390</v>
      </c>
      <c r="E194">
        <v>7000</v>
      </c>
      <c r="F194" t="s">
        <v>361</v>
      </c>
    </row>
    <row r="195" spans="1:6" customHeight="1" ht="13.8">
      <c r="A195" t="s">
        <v>391</v>
      </c>
      <c r="B195" t="s">
        <v>392</v>
      </c>
      <c r="C195" s="1" t="s">
        <v>393</v>
      </c>
      <c r="D195" t="s">
        <v>394</v>
      </c>
      <c r="E195">
        <v>7000</v>
      </c>
      <c r="F195" t="s">
        <v>361</v>
      </c>
    </row>
    <row r="196" spans="1:6" customHeight="1" ht="13.8">
      <c r="A196" t="s">
        <v>395</v>
      </c>
      <c r="B196" t="s">
        <v>396</v>
      </c>
      <c r="C196" s="1" t="s">
        <v>397</v>
      </c>
      <c r="D196" t="s">
        <v>398</v>
      </c>
      <c r="E196">
        <v>7000</v>
      </c>
      <c r="F196" t="s">
        <v>361</v>
      </c>
    </row>
    <row r="197" spans="1:6" customHeight="1" ht="13.8">
      <c r="A197" t="s">
        <v>399</v>
      </c>
      <c r="B197" t="s">
        <v>400</v>
      </c>
      <c r="C197" s="1" t="s">
        <v>401</v>
      </c>
      <c r="D197" t="s">
        <v>402</v>
      </c>
      <c r="E197">
        <v>7000</v>
      </c>
      <c r="F197" t="s">
        <v>361</v>
      </c>
    </row>
    <row r="198" spans="1:6" customHeight="1" ht="13.8">
      <c r="A198" t="s">
        <v>403</v>
      </c>
      <c r="B198" t="s">
        <v>404</v>
      </c>
      <c r="C198">
        <v>139363616</v>
      </c>
      <c r="D198" t="s">
        <v>405</v>
      </c>
      <c r="E198">
        <v>7000</v>
      </c>
      <c r="F198" t="s">
        <v>361</v>
      </c>
    </row>
    <row r="199" spans="1:6" customHeight="1" ht="13.8">
      <c r="A199" t="s">
        <v>406</v>
      </c>
      <c r="B199" t="s">
        <v>407</v>
      </c>
      <c r="C199">
        <v>120092204</v>
      </c>
      <c r="D199" t="s">
        <v>405</v>
      </c>
      <c r="E199">
        <v>7000</v>
      </c>
      <c r="F199" t="s">
        <v>361</v>
      </c>
    </row>
    <row r="200" spans="1:6" customHeight="1" ht="13.8">
      <c r="A200" t="s">
        <v>408</v>
      </c>
      <c r="B200" t="s">
        <v>409</v>
      </c>
      <c r="C200">
        <v>149883858</v>
      </c>
      <c r="D200" t="s">
        <v>410</v>
      </c>
      <c r="E200">
        <v>7000</v>
      </c>
      <c r="F200" t="s">
        <v>361</v>
      </c>
    </row>
    <row r="201" spans="1:6" customHeight="1" ht="13.8">
      <c r="A201" t="s">
        <v>411</v>
      </c>
      <c r="B201" t="s">
        <v>412</v>
      </c>
      <c r="C201" t="s">
        <v>413</v>
      </c>
      <c r="D201" t="s">
        <v>414</v>
      </c>
      <c r="E201">
        <v>7000</v>
      </c>
      <c r="F201" t="s">
        <v>361</v>
      </c>
    </row>
    <row r="202" spans="1:6" customHeight="1" ht="13.8">
      <c r="A202" t="s">
        <v>415</v>
      </c>
      <c r="B202" t="s">
        <v>416</v>
      </c>
      <c r="C202">
        <v>119764576</v>
      </c>
      <c r="D202" t="s">
        <v>417</v>
      </c>
      <c r="E202">
        <v>7000</v>
      </c>
      <c r="F202" t="s">
        <v>361</v>
      </c>
    </row>
    <row r="203" spans="1:6" customHeight="1" ht="13.8">
      <c r="A203" t="s">
        <v>418</v>
      </c>
      <c r="B203" t="s">
        <v>419</v>
      </c>
      <c r="C203">
        <v>120752665</v>
      </c>
      <c r="D203" t="s">
        <v>420</v>
      </c>
      <c r="E203">
        <v>7000</v>
      </c>
      <c r="F203" t="s">
        <v>361</v>
      </c>
    </row>
    <row r="204" spans="1:6" customHeight="1" ht="13.8">
      <c r="A204" t="s">
        <v>421</v>
      </c>
      <c r="B204" t="s">
        <v>422</v>
      </c>
      <c r="C204" s="1" t="s">
        <v>423</v>
      </c>
      <c r="D204" t="s">
        <v>424</v>
      </c>
      <c r="E204">
        <v>7000</v>
      </c>
      <c r="F204" t="s">
        <v>361</v>
      </c>
    </row>
    <row r="205" spans="1:6" customHeight="1" ht="13.8">
      <c r="A205" t="s">
        <v>425</v>
      </c>
      <c r="B205" t="s">
        <v>426</v>
      </c>
      <c r="C205" s="1" t="s">
        <v>427</v>
      </c>
      <c r="D205" t="s">
        <v>428</v>
      </c>
      <c r="E205">
        <v>7000</v>
      </c>
      <c r="F205" t="s">
        <v>361</v>
      </c>
    </row>
    <row r="206" spans="1:6" customHeight="1" ht="13.8">
      <c r="A206" t="s">
        <v>429</v>
      </c>
      <c r="B206" t="s">
        <v>430</v>
      </c>
      <c r="C206">
        <v>149201597</v>
      </c>
      <c r="D206" t="s">
        <v>431</v>
      </c>
      <c r="E206">
        <v>7000</v>
      </c>
      <c r="F206" t="s">
        <v>361</v>
      </c>
    </row>
    <row r="207" spans="1:6" customHeight="1" ht="13.8">
      <c r="A207" t="s">
        <v>432</v>
      </c>
      <c r="B207" t="s">
        <v>433</v>
      </c>
      <c r="C207">
        <v>147189642</v>
      </c>
      <c r="D207" t="s">
        <v>434</v>
      </c>
      <c r="E207">
        <v>7000</v>
      </c>
      <c r="F207" t="s">
        <v>361</v>
      </c>
    </row>
    <row r="208" spans="1:6" customHeight="1" ht="13.8">
      <c r="A208" t="s">
        <v>435</v>
      </c>
      <c r="B208" t="s">
        <v>436</v>
      </c>
      <c r="C208" s="1" t="s">
        <v>437</v>
      </c>
      <c r="D208" t="s">
        <v>438</v>
      </c>
      <c r="E208">
        <v>7000</v>
      </c>
      <c r="F208" t="s">
        <v>361</v>
      </c>
    </row>
    <row r="209" spans="1:6" customHeight="1" ht="13.8">
      <c r="A209" t="s">
        <v>439</v>
      </c>
      <c r="B209" t="s">
        <v>440</v>
      </c>
      <c r="C209">
        <v>147581039</v>
      </c>
      <c r="D209" t="s">
        <v>441</v>
      </c>
      <c r="E209">
        <v>7000</v>
      </c>
      <c r="F209" t="s">
        <v>361</v>
      </c>
    </row>
    <row r="210" spans="1:6" customHeight="1" ht="13.8">
      <c r="A210" t="s">
        <v>442</v>
      </c>
      <c r="B210" t="s">
        <v>443</v>
      </c>
      <c r="C210">
        <v>121346139</v>
      </c>
      <c r="D210" t="s">
        <v>444</v>
      </c>
      <c r="E210">
        <v>7000</v>
      </c>
      <c r="F210" t="s">
        <v>361</v>
      </c>
    </row>
    <row r="211" spans="1:6" customHeight="1" ht="13.8">
      <c r="A211" t="s">
        <v>445</v>
      </c>
      <c r="B211" t="s">
        <v>148</v>
      </c>
      <c r="C211" s="1" t="s">
        <v>149</v>
      </c>
      <c r="D211" t="s">
        <v>446</v>
      </c>
      <c r="E211">
        <v>7000</v>
      </c>
      <c r="F211" t="s">
        <v>361</v>
      </c>
    </row>
    <row r="212" spans="1:6" customHeight="1" ht="13.8">
      <c r="A212" t="s">
        <v>447</v>
      </c>
      <c r="B212" t="s">
        <v>448</v>
      </c>
      <c r="C212" s="1" t="s">
        <v>449</v>
      </c>
      <c r="D212" t="s">
        <v>450</v>
      </c>
      <c r="E212">
        <v>7000</v>
      </c>
      <c r="F212" t="s">
        <v>361</v>
      </c>
    </row>
    <row r="213" spans="1:6" customHeight="1" ht="13.8">
      <c r="A213" t="s">
        <v>451</v>
      </c>
      <c r="B213" t="s">
        <v>452</v>
      </c>
      <c r="C213">
        <v>119224445</v>
      </c>
      <c r="D213" t="s">
        <v>453</v>
      </c>
      <c r="E213">
        <v>7000</v>
      </c>
      <c r="F213" t="s">
        <v>361</v>
      </c>
    </row>
    <row r="214" spans="1:6" customHeight="1" ht="13.8">
      <c r="A214" t="s">
        <v>454</v>
      </c>
      <c r="B214" t="s">
        <v>455</v>
      </c>
      <c r="C214" s="1" t="s">
        <v>456</v>
      </c>
      <c r="D214" t="s">
        <v>457</v>
      </c>
      <c r="E214">
        <v>7000</v>
      </c>
      <c r="F214" t="s">
        <v>361</v>
      </c>
    </row>
    <row r="215" spans="1:6" customHeight="1" ht="13.8">
      <c r="A215" t="s">
        <v>458</v>
      </c>
      <c r="B215" t="s">
        <v>459</v>
      </c>
      <c r="C215">
        <v>115945098</v>
      </c>
      <c r="D215" t="s">
        <v>460</v>
      </c>
      <c r="E215">
        <v>7000</v>
      </c>
      <c r="F215" t="s">
        <v>361</v>
      </c>
    </row>
    <row r="216" spans="1:6" customHeight="1" ht="13.8">
      <c r="A216" t="s">
        <v>461</v>
      </c>
      <c r="B216" t="s">
        <v>462</v>
      </c>
      <c r="C216">
        <v>115883295</v>
      </c>
      <c r="D216" t="s">
        <v>463</v>
      </c>
      <c r="E216">
        <v>7000</v>
      </c>
      <c r="F216" t="s">
        <v>361</v>
      </c>
    </row>
    <row r="217" spans="1:6" customHeight="1" ht="13.8">
      <c r="A217" t="s">
        <v>464</v>
      </c>
      <c r="B217" t="s">
        <v>465</v>
      </c>
      <c r="C217">
        <v>148398267</v>
      </c>
      <c r="D217" t="s">
        <v>466</v>
      </c>
      <c r="E217">
        <v>7000</v>
      </c>
      <c r="F217" t="s">
        <v>361</v>
      </c>
    </row>
    <row r="218" spans="1:6" customHeight="1" ht="13.8">
      <c r="A218" t="s">
        <v>467</v>
      </c>
      <c r="B218" t="s">
        <v>468</v>
      </c>
      <c r="C218">
        <v>121577854</v>
      </c>
      <c r="D218" t="s">
        <v>469</v>
      </c>
      <c r="E218">
        <v>7000</v>
      </c>
      <c r="F218" t="s">
        <v>361</v>
      </c>
    </row>
    <row r="219" spans="1:6" customHeight="1" ht="13.8">
      <c r="A219" t="s">
        <v>470</v>
      </c>
      <c r="B219" t="s">
        <v>471</v>
      </c>
      <c r="C219">
        <v>116688495</v>
      </c>
      <c r="D219" t="s">
        <v>472</v>
      </c>
      <c r="E219">
        <v>7000</v>
      </c>
      <c r="F219" t="s">
        <v>361</v>
      </c>
    </row>
    <row r="220" spans="1:6" customHeight="1" ht="13.8">
      <c r="A220" t="s">
        <v>473</v>
      </c>
      <c r="B220" t="s">
        <v>474</v>
      </c>
      <c r="C220" s="1" t="s">
        <v>475</v>
      </c>
      <c r="D220" t="s">
        <v>476</v>
      </c>
      <c r="E220">
        <v>7000</v>
      </c>
      <c r="F220" t="s">
        <v>361</v>
      </c>
    </row>
    <row r="221" spans="1:6" customHeight="1" ht="13.8">
      <c r="A221" t="s">
        <v>477</v>
      </c>
      <c r="B221" t="s">
        <v>478</v>
      </c>
      <c r="C221" s="1" t="s">
        <v>479</v>
      </c>
      <c r="D221" t="s">
        <v>480</v>
      </c>
      <c r="E221">
        <v>7000</v>
      </c>
      <c r="F221" t="s">
        <v>361</v>
      </c>
    </row>
    <row r="222" spans="1:6" customHeight="1" ht="13.8">
      <c r="A222" t="s">
        <v>481</v>
      </c>
      <c r="B222" t="s">
        <v>482</v>
      </c>
      <c r="C222">
        <v>107746007</v>
      </c>
      <c r="D222" t="s">
        <v>483</v>
      </c>
      <c r="E222">
        <v>7000</v>
      </c>
      <c r="F222" t="s">
        <v>361</v>
      </c>
    </row>
    <row r="223" spans="1:6" customHeight="1" ht="13.8">
      <c r="A223" t="s">
        <v>484</v>
      </c>
      <c r="B223" t="s">
        <v>485</v>
      </c>
      <c r="C223" s="1" t="s">
        <v>486</v>
      </c>
      <c r="D223" t="s">
        <v>487</v>
      </c>
      <c r="E223">
        <v>7000</v>
      </c>
      <c r="F223" t="s">
        <v>361</v>
      </c>
    </row>
    <row r="224" spans="1:6" customHeight="1" ht="13.8">
      <c r="A224" t="s">
        <v>488</v>
      </c>
      <c r="B224" t="s">
        <v>489</v>
      </c>
      <c r="C224">
        <v>144432468</v>
      </c>
      <c r="D224" t="s">
        <v>335</v>
      </c>
      <c r="E224">
        <v>7000</v>
      </c>
      <c r="F224" t="s">
        <v>361</v>
      </c>
    </row>
    <row r="225" spans="1:6" customHeight="1" ht="13.8">
      <c r="A225" t="s">
        <v>490</v>
      </c>
      <c r="B225" t="s">
        <v>491</v>
      </c>
      <c r="C225">
        <v>115809640</v>
      </c>
      <c r="D225" t="s">
        <v>492</v>
      </c>
      <c r="E225">
        <v>7000</v>
      </c>
      <c r="F225" t="s">
        <v>361</v>
      </c>
    </row>
    <row r="226" spans="1:6" customHeight="1" ht="13.8">
      <c r="A226" t="s">
        <v>493</v>
      </c>
      <c r="B226" t="s">
        <v>494</v>
      </c>
      <c r="C226">
        <v>140808869</v>
      </c>
      <c r="D226" t="s">
        <v>495</v>
      </c>
      <c r="E226">
        <v>7000</v>
      </c>
      <c r="F226" t="s">
        <v>361</v>
      </c>
    </row>
    <row r="227" spans="1:6" customHeight="1" ht="13.8">
      <c r="A227" t="s">
        <v>496</v>
      </c>
      <c r="B227" t="s">
        <v>497</v>
      </c>
      <c r="C227">
        <v>122717633</v>
      </c>
      <c r="D227" t="s">
        <v>498</v>
      </c>
      <c r="E227">
        <v>7000</v>
      </c>
      <c r="F227" t="s">
        <v>361</v>
      </c>
    </row>
    <row r="228" spans="1:6" customHeight="1" ht="13.8">
      <c r="A228" t="s">
        <v>499</v>
      </c>
      <c r="B228" t="s">
        <v>500</v>
      </c>
      <c r="C228">
        <v>115409233</v>
      </c>
      <c r="D228" t="s">
        <v>501</v>
      </c>
      <c r="E228">
        <v>7000</v>
      </c>
      <c r="F228" t="s">
        <v>361</v>
      </c>
    </row>
    <row r="229" spans="1:6" customHeight="1" ht="13.8">
      <c r="A229" t="s">
        <v>502</v>
      </c>
      <c r="B229" t="s">
        <v>503</v>
      </c>
      <c r="C229" s="1" t="s">
        <v>504</v>
      </c>
      <c r="D229" t="s">
        <v>505</v>
      </c>
      <c r="E229">
        <v>7000</v>
      </c>
      <c r="F229" t="s">
        <v>361</v>
      </c>
    </row>
    <row r="230" spans="1:6" customHeight="1" ht="13.8">
      <c r="A230" t="s">
        <v>506</v>
      </c>
      <c r="B230" t="s">
        <v>507</v>
      </c>
      <c r="C230" s="1" t="s">
        <v>508</v>
      </c>
      <c r="D230" t="s">
        <v>509</v>
      </c>
      <c r="E230">
        <v>7000</v>
      </c>
      <c r="F230" t="s">
        <v>361</v>
      </c>
    </row>
    <row r="231" spans="1:6" customHeight="1" ht="13.8">
      <c r="A231" t="s">
        <v>510</v>
      </c>
      <c r="B231" t="s">
        <v>511</v>
      </c>
      <c r="C231" s="1" t="s">
        <v>512</v>
      </c>
      <c r="D231" t="s">
        <v>513</v>
      </c>
      <c r="E231">
        <v>7000</v>
      </c>
      <c r="F231" t="s">
        <v>361</v>
      </c>
    </row>
    <row r="232" spans="1:6" customHeight="1" ht="13.8">
      <c r="A232" t="s">
        <v>514</v>
      </c>
      <c r="B232" t="s">
        <v>515</v>
      </c>
      <c r="C232">
        <v>135403307</v>
      </c>
      <c r="D232" t="s">
        <v>516</v>
      </c>
      <c r="E232">
        <v>7000</v>
      </c>
      <c r="F232" t="s">
        <v>361</v>
      </c>
    </row>
    <row r="233" spans="1:6" customHeight="1" ht="13.8">
      <c r="A233" t="s">
        <v>517</v>
      </c>
      <c r="B233" t="s">
        <v>515</v>
      </c>
      <c r="C233">
        <v>135403307</v>
      </c>
      <c r="D233" t="s">
        <v>518</v>
      </c>
      <c r="E233">
        <v>-7000</v>
      </c>
      <c r="F233" t="s">
        <v>361</v>
      </c>
    </row>
    <row r="234" spans="1:6" customHeight="1" ht="13.8">
      <c r="A234" t="s">
        <v>519</v>
      </c>
      <c r="B234" t="s">
        <v>515</v>
      </c>
      <c r="C234">
        <v>135403307</v>
      </c>
      <c r="D234" t="s">
        <v>518</v>
      </c>
      <c r="E234">
        <v>7000</v>
      </c>
      <c r="F234" t="s">
        <v>361</v>
      </c>
    </row>
    <row r="235" spans="1:6" customHeight="1" ht="13.8">
      <c r="A235" t="s">
        <v>520</v>
      </c>
      <c r="B235" t="s">
        <v>521</v>
      </c>
      <c r="C235">
        <v>118138745</v>
      </c>
      <c r="D235" t="s">
        <v>522</v>
      </c>
      <c r="E235">
        <v>7000</v>
      </c>
      <c r="F235" t="s">
        <v>361</v>
      </c>
    </row>
    <row r="236" spans="1:6" customHeight="1" ht="13.8">
      <c r="A236" t="s">
        <v>523</v>
      </c>
      <c r="B236" t="s">
        <v>524</v>
      </c>
      <c r="C236" s="1" t="s">
        <v>525</v>
      </c>
      <c r="D236" t="s">
        <v>526</v>
      </c>
      <c r="E236">
        <v>7000</v>
      </c>
      <c r="F236" t="s">
        <v>361</v>
      </c>
    </row>
    <row r="237" spans="1:6" customHeight="1" ht="13.8">
      <c r="A237" t="s">
        <v>527</v>
      </c>
      <c r="B237" t="s">
        <v>528</v>
      </c>
      <c r="C237">
        <v>134928843</v>
      </c>
      <c r="D237" t="s">
        <v>529</v>
      </c>
      <c r="E237">
        <v>7000</v>
      </c>
      <c r="F237" t="s">
        <v>361</v>
      </c>
    </row>
    <row r="238" spans="1:6" customHeight="1" ht="13.8">
      <c r="A238" t="s">
        <v>530</v>
      </c>
      <c r="B238" t="s">
        <v>531</v>
      </c>
      <c r="C238">
        <v>147172413</v>
      </c>
      <c r="D238" t="s">
        <v>532</v>
      </c>
      <c r="E238">
        <v>7000</v>
      </c>
      <c r="F238" t="s">
        <v>361</v>
      </c>
    </row>
    <row r="239" spans="1:6" customHeight="1" ht="13.8">
      <c r="A239" t="s">
        <v>533</v>
      </c>
      <c r="B239" t="s">
        <v>534</v>
      </c>
      <c r="C239">
        <v>143583220</v>
      </c>
      <c r="D239" t="s">
        <v>535</v>
      </c>
      <c r="E239">
        <v>7000</v>
      </c>
      <c r="F239" t="s">
        <v>361</v>
      </c>
    </row>
    <row r="240" spans="1:6" customHeight="1" ht="13.8">
      <c r="A240" t="s">
        <v>536</v>
      </c>
      <c r="B240" t="s">
        <v>537</v>
      </c>
      <c r="C240" s="1" t="s">
        <v>538</v>
      </c>
      <c r="D240" t="s">
        <v>539</v>
      </c>
      <c r="E240">
        <v>7000</v>
      </c>
      <c r="F240" t="s">
        <v>361</v>
      </c>
    </row>
    <row r="241" spans="1:6" customHeight="1" ht="13.8">
      <c r="A241" t="s">
        <v>540</v>
      </c>
      <c r="B241" t="s">
        <v>541</v>
      </c>
      <c r="C241">
        <v>118593997</v>
      </c>
      <c r="D241" t="s">
        <v>542</v>
      </c>
      <c r="E241">
        <v>7000</v>
      </c>
      <c r="F241" t="s">
        <v>361</v>
      </c>
    </row>
    <row r="242" spans="1:6" customHeight="1" ht="13.8">
      <c r="A242" t="s">
        <v>543</v>
      </c>
      <c r="B242" t="s">
        <v>544</v>
      </c>
      <c r="C242">
        <v>120427495</v>
      </c>
      <c r="D242" t="s">
        <v>545</v>
      </c>
      <c r="E242">
        <v>7000</v>
      </c>
      <c r="F242" t="s">
        <v>361</v>
      </c>
    </row>
    <row r="243" spans="1:6" customHeight="1" ht="13.8">
      <c r="A243" t="s">
        <v>546</v>
      </c>
      <c r="B243" t="s">
        <v>547</v>
      </c>
      <c r="C243" s="1" t="s">
        <v>548</v>
      </c>
      <c r="D243" t="s">
        <v>549</v>
      </c>
      <c r="E243">
        <v>7000</v>
      </c>
      <c r="F243" t="s">
        <v>361</v>
      </c>
    </row>
    <row r="244" spans="1:6" customHeight="1" ht="13.8">
      <c r="A244" t="s">
        <v>550</v>
      </c>
      <c r="B244" t="s">
        <v>551</v>
      </c>
      <c r="C244">
        <v>109893073</v>
      </c>
      <c r="D244" t="s">
        <v>552</v>
      </c>
      <c r="E244">
        <v>7000</v>
      </c>
      <c r="F244" t="s">
        <v>361</v>
      </c>
    </row>
    <row r="245" spans="1:6" customHeight="1" ht="13.8">
      <c r="A245" t="s">
        <v>553</v>
      </c>
      <c r="B245" t="s">
        <v>554</v>
      </c>
      <c r="C245" s="1" t="s">
        <v>555</v>
      </c>
      <c r="D245" t="s">
        <v>556</v>
      </c>
      <c r="E245">
        <v>7000</v>
      </c>
      <c r="F245" t="s">
        <v>361</v>
      </c>
    </row>
    <row r="246" spans="1:6" customHeight="1" ht="13.8">
      <c r="A246" t="s">
        <v>557</v>
      </c>
      <c r="B246" t="s">
        <v>558</v>
      </c>
      <c r="C246" s="1" t="s">
        <v>559</v>
      </c>
      <c r="D246" t="s">
        <v>560</v>
      </c>
      <c r="E246">
        <v>7000</v>
      </c>
      <c r="F246" t="s">
        <v>361</v>
      </c>
    </row>
    <row r="247" spans="1:6" customHeight="1" ht="13.8">
      <c r="A247" t="s">
        <v>561</v>
      </c>
      <c r="B247" t="s">
        <v>562</v>
      </c>
      <c r="C247">
        <v>115340819</v>
      </c>
      <c r="D247" t="s">
        <v>563</v>
      </c>
      <c r="E247">
        <v>7000</v>
      </c>
      <c r="F247" t="s">
        <v>361</v>
      </c>
    </row>
    <row r="248" spans="1:6" customHeight="1" ht="13.8">
      <c r="A248" t="s">
        <v>564</v>
      </c>
      <c r="B248" t="s">
        <v>565</v>
      </c>
      <c r="C248" s="1" t="s">
        <v>566</v>
      </c>
      <c r="D248" t="s">
        <v>567</v>
      </c>
      <c r="E248">
        <v>7000</v>
      </c>
      <c r="F248" t="s">
        <v>361</v>
      </c>
    </row>
    <row r="249" spans="1:6" customHeight="1" ht="13.8">
      <c r="A249" t="s">
        <v>568</v>
      </c>
      <c r="B249" t="s">
        <v>569</v>
      </c>
      <c r="C249">
        <v>116720728</v>
      </c>
      <c r="D249" t="s">
        <v>570</v>
      </c>
      <c r="E249">
        <v>7000</v>
      </c>
      <c r="F249" t="s">
        <v>361</v>
      </c>
    </row>
    <row r="250" spans="1:6" customHeight="1" ht="13.8">
      <c r="A250" t="s">
        <v>571</v>
      </c>
      <c r="B250" t="s">
        <v>572</v>
      </c>
      <c r="C250">
        <v>117757743</v>
      </c>
      <c r="D250" t="s">
        <v>573</v>
      </c>
      <c r="E250">
        <v>7000</v>
      </c>
      <c r="F250" t="s">
        <v>361</v>
      </c>
    </row>
    <row r="251" spans="1:6" customHeight="1" ht="13.8">
      <c r="A251" t="s">
        <v>574</v>
      </c>
      <c r="B251" t="s">
        <v>575</v>
      </c>
      <c r="C251" s="1" t="s">
        <v>576</v>
      </c>
      <c r="D251" t="s">
        <v>577</v>
      </c>
      <c r="E251">
        <v>7000</v>
      </c>
      <c r="F251" t="s">
        <v>361</v>
      </c>
    </row>
    <row r="252" spans="1:6" customHeight="1" ht="13.8">
      <c r="A252" t="s">
        <v>578</v>
      </c>
      <c r="B252" t="s">
        <v>579</v>
      </c>
      <c r="C252">
        <v>113889727</v>
      </c>
      <c r="D252" t="s">
        <v>580</v>
      </c>
      <c r="E252">
        <v>7000</v>
      </c>
      <c r="F252" t="s">
        <v>361</v>
      </c>
    </row>
    <row r="253" spans="1:6" customHeight="1" ht="13.8">
      <c r="A253" t="s">
        <v>581</v>
      </c>
      <c r="B253" t="s">
        <v>582</v>
      </c>
      <c r="C253">
        <v>115221253</v>
      </c>
      <c r="D253" t="s">
        <v>583</v>
      </c>
      <c r="E253">
        <v>7000</v>
      </c>
      <c r="F253" t="s">
        <v>361</v>
      </c>
    </row>
    <row r="254" spans="1:6" customHeight="1" ht="13.8">
      <c r="A254" t="s">
        <v>584</v>
      </c>
      <c r="B254" t="s">
        <v>585</v>
      </c>
      <c r="C254" s="1" t="s">
        <v>586</v>
      </c>
      <c r="D254" t="s">
        <v>583</v>
      </c>
      <c r="E254">
        <v>7000</v>
      </c>
      <c r="F254" t="s">
        <v>361</v>
      </c>
    </row>
    <row r="255" spans="1:6" customHeight="1" ht="13.8">
      <c r="A255" t="s">
        <v>587</v>
      </c>
      <c r="B255" t="s">
        <v>588</v>
      </c>
      <c r="C255">
        <v>125260949</v>
      </c>
      <c r="D255" t="s">
        <v>589</v>
      </c>
      <c r="E255">
        <v>7000</v>
      </c>
      <c r="F255" t="s">
        <v>361</v>
      </c>
    </row>
    <row r="256" spans="1:6" customHeight="1" ht="13.8">
      <c r="A256" t="s">
        <v>590</v>
      </c>
      <c r="B256" t="s">
        <v>591</v>
      </c>
      <c r="C256" s="1" t="s">
        <v>592</v>
      </c>
      <c r="D256" t="s">
        <v>593</v>
      </c>
      <c r="E256">
        <v>7000</v>
      </c>
      <c r="F256" t="s">
        <v>361</v>
      </c>
    </row>
    <row r="257" spans="1:6" customHeight="1" ht="13.8">
      <c r="A257" t="s">
        <v>594</v>
      </c>
      <c r="B257" t="s">
        <v>595</v>
      </c>
      <c r="C257">
        <v>146454141</v>
      </c>
      <c r="D257" t="s">
        <v>596</v>
      </c>
      <c r="E257">
        <v>7000</v>
      </c>
      <c r="F257" t="s">
        <v>361</v>
      </c>
    </row>
    <row r="258" spans="1:6" customHeight="1" ht="13.8">
      <c r="A258" t="s">
        <v>597</v>
      </c>
      <c r="B258" t="s">
        <v>598</v>
      </c>
      <c r="C258">
        <v>109833178</v>
      </c>
      <c r="D258" t="s">
        <v>599</v>
      </c>
      <c r="E258">
        <v>7000</v>
      </c>
      <c r="F258" t="s">
        <v>361</v>
      </c>
    </row>
    <row r="259" spans="1:6" customHeight="1" ht="13.8">
      <c r="A259" t="s">
        <v>600</v>
      </c>
      <c r="B259" t="s">
        <v>601</v>
      </c>
      <c r="C259">
        <v>110805104</v>
      </c>
      <c r="D259" t="s">
        <v>602</v>
      </c>
      <c r="E259">
        <v>7000</v>
      </c>
      <c r="F259" t="s">
        <v>361</v>
      </c>
    </row>
    <row r="260" spans="1:6" customHeight="1" ht="13.8">
      <c r="A260" t="s">
        <v>603</v>
      </c>
      <c r="B260" t="s">
        <v>604</v>
      </c>
      <c r="C260" s="1" t="s">
        <v>605</v>
      </c>
      <c r="D260" t="s">
        <v>606</v>
      </c>
      <c r="E260">
        <v>7000</v>
      </c>
      <c r="F260" t="s">
        <v>361</v>
      </c>
    </row>
    <row r="261" spans="1:6" customHeight="1" ht="13.8">
      <c r="A261" t="s">
        <v>607</v>
      </c>
      <c r="B261" t="s">
        <v>608</v>
      </c>
      <c r="C261" s="1" t="s">
        <v>609</v>
      </c>
      <c r="D261" t="s">
        <v>610</v>
      </c>
      <c r="E261">
        <v>7000</v>
      </c>
      <c r="F261" t="s">
        <v>361</v>
      </c>
    </row>
    <row r="262" spans="1:6" customHeight="1" ht="13.8">
      <c r="A262" t="s">
        <v>611</v>
      </c>
      <c r="B262" t="s">
        <v>612</v>
      </c>
      <c r="C262">
        <v>145250940</v>
      </c>
      <c r="D262" t="s">
        <v>613</v>
      </c>
      <c r="E262">
        <v>7000</v>
      </c>
      <c r="F262" t="s">
        <v>361</v>
      </c>
    </row>
    <row r="263" spans="1:6" customHeight="1" ht="13.8">
      <c r="A263" t="s">
        <v>614</v>
      </c>
      <c r="B263" t="s">
        <v>615</v>
      </c>
      <c r="C263" s="1" t="s">
        <v>616</v>
      </c>
      <c r="D263" t="s">
        <v>617</v>
      </c>
      <c r="E263">
        <v>7000</v>
      </c>
      <c r="F263" t="s">
        <v>361</v>
      </c>
    </row>
    <row r="264" spans="1:6" customHeight="1" ht="13.8">
      <c r="A264" t="s">
        <v>618</v>
      </c>
      <c r="B264" t="s">
        <v>619</v>
      </c>
      <c r="C264" s="1" t="s">
        <v>620</v>
      </c>
      <c r="D264" t="s">
        <v>621</v>
      </c>
      <c r="E264">
        <v>7000</v>
      </c>
      <c r="F264" t="s">
        <v>361</v>
      </c>
    </row>
    <row r="265" spans="1:6" customHeight="1" ht="13.8">
      <c r="A265" t="s">
        <v>622</v>
      </c>
      <c r="B265" t="s">
        <v>623</v>
      </c>
      <c r="C265" s="1" t="s">
        <v>624</v>
      </c>
      <c r="D265" t="s">
        <v>625</v>
      </c>
      <c r="E265">
        <v>7000</v>
      </c>
      <c r="F265" t="s">
        <v>361</v>
      </c>
    </row>
    <row r="266" spans="1:6" customHeight="1" ht="13.8">
      <c r="A266" t="s">
        <v>626</v>
      </c>
      <c r="B266" t="s">
        <v>627</v>
      </c>
      <c r="C266" s="1" t="s">
        <v>628</v>
      </c>
      <c r="D266" t="s">
        <v>629</v>
      </c>
      <c r="E266">
        <v>7000</v>
      </c>
      <c r="F266" t="s">
        <v>361</v>
      </c>
    </row>
    <row r="267" spans="1:6" customHeight="1" ht="13.8">
      <c r="A267" t="s">
        <v>630</v>
      </c>
      <c r="B267" t="s">
        <v>631</v>
      </c>
      <c r="C267">
        <v>113929252</v>
      </c>
      <c r="D267" t="s">
        <v>632</v>
      </c>
      <c r="E267">
        <v>7000</v>
      </c>
      <c r="F267" t="s">
        <v>361</v>
      </c>
    </row>
    <row r="268" spans="1:6" customHeight="1" ht="13.8">
      <c r="A268" t="s">
        <v>633</v>
      </c>
      <c r="B268" t="s">
        <v>634</v>
      </c>
      <c r="C268">
        <v>114944407</v>
      </c>
      <c r="D268" t="s">
        <v>635</v>
      </c>
      <c r="E268">
        <v>7000</v>
      </c>
      <c r="F268" t="s">
        <v>361</v>
      </c>
    </row>
    <row r="269" spans="1:6" customHeight="1" ht="13.8">
      <c r="A269" t="s">
        <v>636</v>
      </c>
      <c r="B269" t="s">
        <v>637</v>
      </c>
      <c r="C269">
        <v>147807832</v>
      </c>
      <c r="D269" t="s">
        <v>638</v>
      </c>
      <c r="E269">
        <v>7000</v>
      </c>
      <c r="F269" t="s">
        <v>361</v>
      </c>
    </row>
    <row r="270" spans="1:6" customHeight="1" ht="13.8">
      <c r="A270" t="s">
        <v>639</v>
      </c>
      <c r="B270" t="s">
        <v>640</v>
      </c>
      <c r="C270">
        <v>147792318</v>
      </c>
      <c r="D270" t="s">
        <v>641</v>
      </c>
      <c r="E270">
        <v>7000</v>
      </c>
      <c r="F270" t="s">
        <v>361</v>
      </c>
    </row>
    <row r="271" spans="1:6" customHeight="1" ht="13.8">
      <c r="A271" t="s">
        <v>642</v>
      </c>
      <c r="B271" t="s">
        <v>643</v>
      </c>
      <c r="C271" s="1" t="s">
        <v>644</v>
      </c>
      <c r="D271" t="s">
        <v>233</v>
      </c>
      <c r="E271">
        <v>7000</v>
      </c>
      <c r="F271" t="s">
        <v>361</v>
      </c>
    </row>
    <row r="272" spans="1:6" customHeight="1" ht="13.8">
      <c r="A272" t="s">
        <v>645</v>
      </c>
      <c r="B272" t="s">
        <v>646</v>
      </c>
      <c r="C272">
        <v>121286505</v>
      </c>
      <c r="D272" t="s">
        <v>647</v>
      </c>
      <c r="E272">
        <v>7000</v>
      </c>
      <c r="F272" t="s">
        <v>361</v>
      </c>
    </row>
    <row r="273" spans="1:6" customHeight="1" ht="13.8">
      <c r="A273" t="s">
        <v>648</v>
      </c>
      <c r="B273" t="s">
        <v>649</v>
      </c>
      <c r="C273" s="1" t="s">
        <v>650</v>
      </c>
      <c r="D273" t="s">
        <v>651</v>
      </c>
      <c r="E273">
        <v>7000</v>
      </c>
      <c r="F273" t="s">
        <v>361</v>
      </c>
    </row>
    <row r="274" spans="1:6" customHeight="1" ht="13.8">
      <c r="A274" t="s">
        <v>652</v>
      </c>
      <c r="B274" t="s">
        <v>653</v>
      </c>
      <c r="C274">
        <v>115595844</v>
      </c>
      <c r="D274" t="s">
        <v>654</v>
      </c>
      <c r="E274">
        <v>7000</v>
      </c>
      <c r="F274" t="s">
        <v>361</v>
      </c>
    </row>
    <row r="275" spans="1:6" customHeight="1" ht="13.8">
      <c r="A275" t="s">
        <v>655</v>
      </c>
      <c r="B275" t="s">
        <v>656</v>
      </c>
      <c r="C275" s="1" t="s">
        <v>657</v>
      </c>
      <c r="D275" t="s">
        <v>658</v>
      </c>
      <c r="E275">
        <v>7000</v>
      </c>
      <c r="F275" t="s">
        <v>361</v>
      </c>
    </row>
    <row r="276" spans="1:6" customHeight="1" ht="13.8">
      <c r="A276" t="s">
        <v>659</v>
      </c>
      <c r="B276" t="s">
        <v>660</v>
      </c>
      <c r="C276">
        <v>118879499</v>
      </c>
      <c r="D276" t="s">
        <v>661</v>
      </c>
      <c r="E276">
        <v>7000</v>
      </c>
      <c r="F276" t="s">
        <v>361</v>
      </c>
    </row>
    <row r="277" spans="1:6" customHeight="1" ht="13.8">
      <c r="A277" t="s">
        <v>662</v>
      </c>
      <c r="B277" t="s">
        <v>663</v>
      </c>
      <c r="C277">
        <v>107894531</v>
      </c>
      <c r="D277" t="s">
        <v>664</v>
      </c>
      <c r="E277">
        <v>7000</v>
      </c>
      <c r="F277" t="s">
        <v>361</v>
      </c>
    </row>
    <row r="278" spans="1:6" customHeight="1" ht="13.8">
      <c r="A278" t="s">
        <v>665</v>
      </c>
      <c r="B278" t="s">
        <v>666</v>
      </c>
      <c r="C278" s="1" t="s">
        <v>667</v>
      </c>
      <c r="D278" t="s">
        <v>668</v>
      </c>
      <c r="E278">
        <v>7000</v>
      </c>
      <c r="F278" t="s">
        <v>361</v>
      </c>
    </row>
    <row r="279" spans="1:6" customHeight="1" ht="13.8">
      <c r="A279" t="s">
        <v>669</v>
      </c>
      <c r="B279" t="s">
        <v>670</v>
      </c>
      <c r="C279">
        <v>114099679</v>
      </c>
      <c r="D279" t="s">
        <v>671</v>
      </c>
      <c r="E279">
        <v>7000</v>
      </c>
      <c r="F279" t="s">
        <v>361</v>
      </c>
    </row>
    <row r="280" spans="1:6" customHeight="1" ht="13.8">
      <c r="A280" t="s">
        <v>672</v>
      </c>
      <c r="B280" t="s">
        <v>673</v>
      </c>
      <c r="C280">
        <v>115232576</v>
      </c>
      <c r="D280" t="s">
        <v>674</v>
      </c>
      <c r="E280">
        <v>7000</v>
      </c>
      <c r="F280" t="s">
        <v>361</v>
      </c>
    </row>
    <row r="281" spans="1:6" customHeight="1" ht="13.8">
      <c r="A281" t="s">
        <v>675</v>
      </c>
      <c r="B281" t="s">
        <v>676</v>
      </c>
      <c r="C281">
        <v>117290868</v>
      </c>
      <c r="D281" t="s">
        <v>677</v>
      </c>
      <c r="E281">
        <v>7000</v>
      </c>
      <c r="F281" t="s">
        <v>361</v>
      </c>
    </row>
    <row r="282" spans="1:6" customHeight="1" ht="13.8">
      <c r="A282" t="s">
        <v>678</v>
      </c>
      <c r="B282" t="s">
        <v>679</v>
      </c>
      <c r="C282">
        <v>111604412</v>
      </c>
      <c r="D282" t="s">
        <v>680</v>
      </c>
      <c r="E282">
        <v>7000</v>
      </c>
      <c r="F282" t="s">
        <v>361</v>
      </c>
    </row>
    <row r="283" spans="1:6" customHeight="1" ht="13.8">
      <c r="A283" t="s">
        <v>681</v>
      </c>
      <c r="B283" t="s">
        <v>682</v>
      </c>
      <c r="C283">
        <v>109808143</v>
      </c>
      <c r="D283" t="s">
        <v>683</v>
      </c>
      <c r="E283">
        <v>7000</v>
      </c>
      <c r="F283" t="s">
        <v>361</v>
      </c>
    </row>
    <row r="284" spans="1:6" customHeight="1" ht="13.8">
      <c r="A284" t="s">
        <v>684</v>
      </c>
      <c r="B284" t="s">
        <v>685</v>
      </c>
      <c r="C284" s="1" t="s">
        <v>686</v>
      </c>
      <c r="D284" t="s">
        <v>687</v>
      </c>
      <c r="E284">
        <v>7000</v>
      </c>
      <c r="F284" t="s">
        <v>361</v>
      </c>
    </row>
    <row r="285" spans="1:6" customHeight="1" ht="13.8">
      <c r="A285" t="s">
        <v>688</v>
      </c>
      <c r="B285" t="s">
        <v>689</v>
      </c>
      <c r="C285">
        <v>108531008</v>
      </c>
      <c r="D285" t="s">
        <v>690</v>
      </c>
      <c r="E285">
        <v>7000</v>
      </c>
      <c r="F285" t="s">
        <v>361</v>
      </c>
    </row>
    <row r="286" spans="1:6" customHeight="1" ht="13.8">
      <c r="A286" t="s">
        <v>691</v>
      </c>
      <c r="B286" t="s">
        <v>692</v>
      </c>
      <c r="C286">
        <v>120523322</v>
      </c>
      <c r="D286" t="s">
        <v>693</v>
      </c>
      <c r="E286">
        <v>7000</v>
      </c>
      <c r="F286" t="s">
        <v>361</v>
      </c>
    </row>
    <row r="287" spans="1:6" customHeight="1" ht="13.8">
      <c r="A287" t="s">
        <v>694</v>
      </c>
      <c r="B287" t="s">
        <v>695</v>
      </c>
      <c r="C287" s="1" t="s">
        <v>696</v>
      </c>
      <c r="D287" t="s">
        <v>697</v>
      </c>
      <c r="E287">
        <v>7000</v>
      </c>
      <c r="F287" t="s">
        <v>361</v>
      </c>
    </row>
    <row r="288" spans="1:6" customHeight="1" ht="13.8">
      <c r="A288" t="s">
        <v>698</v>
      </c>
      <c r="B288" t="s">
        <v>699</v>
      </c>
      <c r="C288" s="1" t="s">
        <v>700</v>
      </c>
      <c r="D288" t="s">
        <v>701</v>
      </c>
      <c r="E288">
        <v>7000</v>
      </c>
      <c r="F288" t="s">
        <v>361</v>
      </c>
    </row>
    <row r="289" spans="1:6" customHeight="1" ht="13.8">
      <c r="A289" t="s">
        <v>702</v>
      </c>
      <c r="B289" t="s">
        <v>703</v>
      </c>
      <c r="C289" s="1" t="s">
        <v>704</v>
      </c>
      <c r="D289" t="s">
        <v>705</v>
      </c>
      <c r="E289">
        <v>7000</v>
      </c>
      <c r="F289" t="s">
        <v>361</v>
      </c>
    </row>
    <row r="290" spans="1:6" customHeight="1" ht="13.8">
      <c r="A290" t="s">
        <v>706</v>
      </c>
      <c r="B290" t="s">
        <v>707</v>
      </c>
      <c r="C290" s="1" t="s">
        <v>708</v>
      </c>
      <c r="D290" t="s">
        <v>709</v>
      </c>
      <c r="E290">
        <v>7000</v>
      </c>
      <c r="F290" t="s">
        <v>361</v>
      </c>
    </row>
    <row r="291" spans="1:6" customHeight="1" ht="13.8">
      <c r="A291" t="s">
        <v>710</v>
      </c>
      <c r="B291" t="s">
        <v>711</v>
      </c>
      <c r="C291" s="1" t="s">
        <v>712</v>
      </c>
      <c r="D291" t="s">
        <v>713</v>
      </c>
      <c r="E291">
        <v>7000</v>
      </c>
      <c r="F291" t="s">
        <v>361</v>
      </c>
    </row>
    <row r="292" spans="1:6" customHeight="1" ht="13.8">
      <c r="A292" t="s">
        <v>714</v>
      </c>
      <c r="B292" t="s">
        <v>715</v>
      </c>
      <c r="C292">
        <v>115284829</v>
      </c>
      <c r="D292" t="s">
        <v>716</v>
      </c>
      <c r="E292">
        <v>7000</v>
      </c>
      <c r="F292" t="s">
        <v>361</v>
      </c>
    </row>
    <row r="293" spans="1:6" customHeight="1" ht="13.8">
      <c r="A293" t="s">
        <v>717</v>
      </c>
      <c r="B293" t="s">
        <v>718</v>
      </c>
      <c r="C293">
        <v>119829772</v>
      </c>
      <c r="D293" t="s">
        <v>719</v>
      </c>
      <c r="E293">
        <v>7000</v>
      </c>
      <c r="F293" t="s">
        <v>361</v>
      </c>
    </row>
    <row r="294" spans="1:6" customHeight="1" ht="13.8">
      <c r="A294" t="s">
        <v>720</v>
      </c>
      <c r="B294" t="s">
        <v>721</v>
      </c>
      <c r="C294">
        <v>118831477</v>
      </c>
      <c r="D294" t="s">
        <v>722</v>
      </c>
      <c r="E294">
        <v>7000</v>
      </c>
      <c r="F294" t="s">
        <v>361</v>
      </c>
    </row>
    <row r="295" spans="1:6" customHeight="1" ht="13.8">
      <c r="A295" t="s">
        <v>723</v>
      </c>
      <c r="B295" t="s">
        <v>724</v>
      </c>
      <c r="C295" s="1" t="s">
        <v>725</v>
      </c>
      <c r="D295" t="s">
        <v>726</v>
      </c>
      <c r="E295">
        <v>7000</v>
      </c>
      <c r="F295" t="s">
        <v>361</v>
      </c>
    </row>
    <row r="296" spans="1:6" customHeight="1" ht="13.8">
      <c r="A296" t="s">
        <v>727</v>
      </c>
      <c r="B296" t="s">
        <v>728</v>
      </c>
      <c r="C296" t="s">
        <v>729</v>
      </c>
      <c r="D296" t="s">
        <v>730</v>
      </c>
      <c r="E296">
        <v>7000</v>
      </c>
      <c r="F296" t="s">
        <v>361</v>
      </c>
    </row>
    <row r="297" spans="1:6" customHeight="1" ht="13.8">
      <c r="A297" t="s">
        <v>731</v>
      </c>
      <c r="B297" t="s">
        <v>732</v>
      </c>
      <c r="C297" s="1" t="s">
        <v>733</v>
      </c>
      <c r="D297" t="s">
        <v>34</v>
      </c>
      <c r="E297">
        <v>7000</v>
      </c>
      <c r="F297" t="s">
        <v>361</v>
      </c>
    </row>
    <row r="298" spans="1:6" customHeight="1" ht="13.8">
      <c r="A298" t="s">
        <v>734</v>
      </c>
      <c r="B298" t="s">
        <v>735</v>
      </c>
      <c r="C298">
        <v>108068661</v>
      </c>
      <c r="D298" t="s">
        <v>736</v>
      </c>
      <c r="E298">
        <v>7000</v>
      </c>
      <c r="F298" t="s">
        <v>361</v>
      </c>
    </row>
    <row r="299" spans="1:6" customHeight="1" ht="13.8">
      <c r="A299" t="s">
        <v>737</v>
      </c>
      <c r="B299" t="s">
        <v>738</v>
      </c>
      <c r="C299">
        <v>120344668</v>
      </c>
      <c r="D299" t="s">
        <v>739</v>
      </c>
      <c r="E299">
        <v>7000</v>
      </c>
      <c r="F299" t="s">
        <v>361</v>
      </c>
    </row>
    <row r="300" spans="1:6" customHeight="1" ht="13.8">
      <c r="A300" t="s">
        <v>740</v>
      </c>
      <c r="B300" t="s">
        <v>741</v>
      </c>
      <c r="C300">
        <v>149541655</v>
      </c>
      <c r="D300" t="s">
        <v>742</v>
      </c>
      <c r="E300">
        <v>7000</v>
      </c>
      <c r="F300" t="s">
        <v>361</v>
      </c>
    </row>
    <row r="301" spans="1:6" customHeight="1" ht="13.8">
      <c r="A301" t="s">
        <v>743</v>
      </c>
      <c r="B301" t="s">
        <v>744</v>
      </c>
      <c r="C301">
        <v>149892304</v>
      </c>
      <c r="D301" t="s">
        <v>745</v>
      </c>
      <c r="E301">
        <v>7000</v>
      </c>
      <c r="F301" t="s">
        <v>361</v>
      </c>
    </row>
    <row r="302" spans="1:6" customHeight="1" ht="13.8">
      <c r="A302" t="s">
        <v>746</v>
      </c>
      <c r="B302" t="s">
        <v>747</v>
      </c>
      <c r="C302" t="s">
        <v>748</v>
      </c>
      <c r="D302" t="s">
        <v>749</v>
      </c>
      <c r="E302">
        <v>7000</v>
      </c>
      <c r="F302" t="s">
        <v>361</v>
      </c>
    </row>
    <row r="303" spans="1:6" customHeight="1" ht="13.8">
      <c r="A303" t="s">
        <v>750</v>
      </c>
      <c r="B303" t="s">
        <v>751</v>
      </c>
      <c r="C303">
        <v>111088670</v>
      </c>
      <c r="D303" t="s">
        <v>752</v>
      </c>
      <c r="E303">
        <v>7000</v>
      </c>
      <c r="F303" t="s">
        <v>361</v>
      </c>
    </row>
    <row r="304" spans="1:6" customHeight="1" ht="13.8">
      <c r="A304" t="s">
        <v>753</v>
      </c>
      <c r="B304" t="s">
        <v>751</v>
      </c>
      <c r="C304">
        <v>111088670</v>
      </c>
      <c r="D304" t="s">
        <v>752</v>
      </c>
      <c r="E304">
        <v>-7000</v>
      </c>
      <c r="F304" t="s">
        <v>361</v>
      </c>
    </row>
    <row r="305" spans="1:6" customHeight="1" ht="13.8">
      <c r="A305" t="s">
        <v>754</v>
      </c>
      <c r="B305" t="s">
        <v>751</v>
      </c>
      <c r="C305">
        <v>111088670</v>
      </c>
      <c r="D305" t="s">
        <v>752</v>
      </c>
      <c r="E305">
        <v>7000</v>
      </c>
      <c r="F305" t="s">
        <v>361</v>
      </c>
    </row>
    <row r="306" spans="1:6" customHeight="1" ht="13.8">
      <c r="A306" t="s">
        <v>755</v>
      </c>
      <c r="B306" t="s">
        <v>756</v>
      </c>
      <c r="C306" t="s">
        <v>757</v>
      </c>
      <c r="D306" t="s">
        <v>758</v>
      </c>
      <c r="E306">
        <v>7000</v>
      </c>
      <c r="F306" t="s">
        <v>361</v>
      </c>
    </row>
    <row r="307" spans="1:6" customHeight="1" ht="13.8">
      <c r="A307" t="s">
        <v>759</v>
      </c>
      <c r="B307" t="s">
        <v>760</v>
      </c>
      <c r="C307" s="1" t="s">
        <v>761</v>
      </c>
      <c r="D307" t="s">
        <v>762</v>
      </c>
      <c r="E307">
        <v>7000</v>
      </c>
      <c r="F307" t="s">
        <v>361</v>
      </c>
    </row>
    <row r="308" spans="1:6" customHeight="1" ht="13.8">
      <c r="A308" t="s">
        <v>763</v>
      </c>
      <c r="B308" t="s">
        <v>764</v>
      </c>
      <c r="C308" s="1" t="s">
        <v>765</v>
      </c>
      <c r="D308" t="s">
        <v>766</v>
      </c>
      <c r="E308">
        <v>7000</v>
      </c>
      <c r="F308" t="s">
        <v>361</v>
      </c>
    </row>
    <row r="309" spans="1:6" customHeight="1" ht="13.8">
      <c r="A309" t="s">
        <v>767</v>
      </c>
      <c r="B309" t="s">
        <v>768</v>
      </c>
      <c r="C309" s="1" t="s">
        <v>769</v>
      </c>
      <c r="D309" t="s">
        <v>770</v>
      </c>
      <c r="E309">
        <v>7000</v>
      </c>
      <c r="F309" t="s">
        <v>361</v>
      </c>
    </row>
    <row r="310" spans="1:6" customHeight="1" ht="13.8">
      <c r="A310" t="s">
        <v>771</v>
      </c>
      <c r="B310" t="s">
        <v>772</v>
      </c>
      <c r="C310" t="s">
        <v>773</v>
      </c>
      <c r="D310" t="s">
        <v>774</v>
      </c>
      <c r="E310">
        <v>7000</v>
      </c>
      <c r="F310" t="s">
        <v>361</v>
      </c>
    </row>
    <row r="311" spans="1:6" customHeight="1" ht="13.8">
      <c r="A311" t="s">
        <v>775</v>
      </c>
      <c r="B311" t="s">
        <v>776</v>
      </c>
      <c r="C311">
        <v>119308451</v>
      </c>
      <c r="D311" t="s">
        <v>777</v>
      </c>
      <c r="E311">
        <v>7000</v>
      </c>
      <c r="F311" t="s">
        <v>361</v>
      </c>
    </row>
    <row r="312" spans="1:6" customHeight="1" ht="13.8">
      <c r="A312" t="s">
        <v>778</v>
      </c>
      <c r="B312" t="s">
        <v>779</v>
      </c>
      <c r="C312" s="1" t="s">
        <v>780</v>
      </c>
      <c r="D312" t="s">
        <v>781</v>
      </c>
      <c r="E312">
        <v>7000</v>
      </c>
      <c r="F312" t="s">
        <v>361</v>
      </c>
    </row>
    <row r="313" spans="1:6" customHeight="1" ht="13.8">
      <c r="A313" t="s">
        <v>782</v>
      </c>
      <c r="B313" t="s">
        <v>783</v>
      </c>
      <c r="C313">
        <v>119780622</v>
      </c>
      <c r="D313" t="s">
        <v>784</v>
      </c>
      <c r="E313">
        <v>7000</v>
      </c>
      <c r="F313" t="s">
        <v>361</v>
      </c>
    </row>
    <row r="314" spans="1:6" customHeight="1" ht="13.8">
      <c r="A314" t="s">
        <v>785</v>
      </c>
      <c r="B314" t="s">
        <v>786</v>
      </c>
      <c r="C314" s="1" t="s">
        <v>787</v>
      </c>
      <c r="D314" t="s">
        <v>788</v>
      </c>
      <c r="E314">
        <v>7000</v>
      </c>
      <c r="F314" t="s">
        <v>361</v>
      </c>
    </row>
    <row r="315" spans="1:6" customHeight="1" ht="13.8">
      <c r="A315" t="s">
        <v>789</v>
      </c>
      <c r="B315" t="s">
        <v>790</v>
      </c>
      <c r="C315" s="1" t="s">
        <v>791</v>
      </c>
      <c r="D315" t="s">
        <v>792</v>
      </c>
      <c r="E315">
        <v>7000</v>
      </c>
      <c r="F315" t="s">
        <v>361</v>
      </c>
    </row>
    <row r="316" spans="1:6" customHeight="1" ht="13.8">
      <c r="A316" t="s">
        <v>793</v>
      </c>
      <c r="B316" t="s">
        <v>794</v>
      </c>
      <c r="C316">
        <v>125330679</v>
      </c>
      <c r="D316" t="s">
        <v>795</v>
      </c>
      <c r="E316">
        <v>7000</v>
      </c>
      <c r="F316" t="s">
        <v>361</v>
      </c>
    </row>
    <row r="317" spans="1:6" customHeight="1" ht="13.8">
      <c r="A317" t="s">
        <v>796</v>
      </c>
      <c r="B317" t="s">
        <v>797</v>
      </c>
      <c r="C317" s="1" t="s">
        <v>798</v>
      </c>
      <c r="D317" t="s">
        <v>799</v>
      </c>
      <c r="E317">
        <v>7000</v>
      </c>
      <c r="F317" t="s">
        <v>361</v>
      </c>
    </row>
    <row r="318" spans="1:6" customHeight="1" ht="13.8">
      <c r="A318" t="s">
        <v>800</v>
      </c>
      <c r="B318" t="s">
        <v>801</v>
      </c>
      <c r="C318" s="1" t="s">
        <v>802</v>
      </c>
      <c r="D318" t="s">
        <v>803</v>
      </c>
      <c r="E318">
        <v>7000</v>
      </c>
      <c r="F318" t="s">
        <v>361</v>
      </c>
    </row>
    <row r="319" spans="1:6" customHeight="1" ht="13.8">
      <c r="A319" t="s">
        <v>804</v>
      </c>
      <c r="B319" t="s">
        <v>801</v>
      </c>
      <c r="C319" s="1" t="s">
        <v>802</v>
      </c>
      <c r="D319" t="s">
        <v>805</v>
      </c>
      <c r="E319">
        <v>7000</v>
      </c>
      <c r="F319" t="s">
        <v>361</v>
      </c>
    </row>
    <row r="320" spans="1:6" customHeight="1" ht="13.8">
      <c r="A320" t="s">
        <v>806</v>
      </c>
      <c r="B320" t="s">
        <v>807</v>
      </c>
      <c r="C320" s="1" t="s">
        <v>808</v>
      </c>
      <c r="D320" t="s">
        <v>809</v>
      </c>
      <c r="E320">
        <v>7000</v>
      </c>
      <c r="F320" t="s">
        <v>361</v>
      </c>
    </row>
    <row r="321" spans="1:6" customHeight="1" ht="13.8">
      <c r="A321" t="s">
        <v>810</v>
      </c>
      <c r="B321" t="s">
        <v>811</v>
      </c>
      <c r="C321">
        <v>120771279</v>
      </c>
      <c r="D321" t="s">
        <v>812</v>
      </c>
      <c r="E321">
        <v>7000</v>
      </c>
      <c r="F321" t="s">
        <v>361</v>
      </c>
    </row>
    <row r="322" spans="1:6" customHeight="1" ht="13.8">
      <c r="A322" t="s">
        <v>813</v>
      </c>
      <c r="B322" t="s">
        <v>814</v>
      </c>
      <c r="C322" s="1" t="s">
        <v>815</v>
      </c>
      <c r="D322" t="s">
        <v>816</v>
      </c>
      <c r="E322">
        <v>7000</v>
      </c>
      <c r="F322" t="s">
        <v>361</v>
      </c>
    </row>
    <row r="323" spans="1:6" customHeight="1" ht="13.8">
      <c r="A323" t="s">
        <v>817</v>
      </c>
      <c r="B323" t="s">
        <v>818</v>
      </c>
      <c r="C323">
        <v>119464733</v>
      </c>
      <c r="D323" t="s">
        <v>819</v>
      </c>
      <c r="E323">
        <v>7000</v>
      </c>
      <c r="F323" t="s">
        <v>361</v>
      </c>
    </row>
    <row r="324" spans="1:6" customHeight="1" ht="13.8">
      <c r="A324" t="s">
        <v>820</v>
      </c>
      <c r="B324" t="s">
        <v>801</v>
      </c>
      <c r="C324" s="1" t="s">
        <v>802</v>
      </c>
      <c r="D324" t="s">
        <v>821</v>
      </c>
      <c r="E324">
        <v>-7000</v>
      </c>
      <c r="F324" t="s">
        <v>361</v>
      </c>
    </row>
    <row r="325" spans="1:6" customHeight="1" ht="13.8">
      <c r="A325" t="s">
        <v>822</v>
      </c>
      <c r="B325" t="s">
        <v>823</v>
      </c>
      <c r="C325">
        <v>117402553</v>
      </c>
      <c r="D325" t="s">
        <v>824</v>
      </c>
      <c r="E325">
        <v>7000</v>
      </c>
      <c r="F325" t="s">
        <v>361</v>
      </c>
    </row>
    <row r="326" spans="1:6" customHeight="1" ht="13.8">
      <c r="A326" t="s">
        <v>825</v>
      </c>
      <c r="B326" t="s">
        <v>826</v>
      </c>
      <c r="C326">
        <v>126112535</v>
      </c>
      <c r="D326" t="s">
        <v>827</v>
      </c>
      <c r="E326">
        <v>7000</v>
      </c>
      <c r="F326" t="s">
        <v>361</v>
      </c>
    </row>
    <row r="327" spans="1:6" customHeight="1" ht="13.8">
      <c r="A327" t="s">
        <v>828</v>
      </c>
      <c r="B327" t="s">
        <v>829</v>
      </c>
      <c r="C327" s="1" t="s">
        <v>830</v>
      </c>
      <c r="D327" t="s">
        <v>831</v>
      </c>
      <c r="E327">
        <v>7000</v>
      </c>
      <c r="F327" t="s">
        <v>361</v>
      </c>
    </row>
    <row r="328" spans="1:6" customHeight="1" ht="13.8">
      <c r="A328" t="s">
        <v>832</v>
      </c>
      <c r="B328" t="s">
        <v>833</v>
      </c>
      <c r="C328">
        <v>106861813</v>
      </c>
      <c r="D328" t="s">
        <v>834</v>
      </c>
      <c r="E328">
        <v>7000</v>
      </c>
      <c r="F328" t="s">
        <v>361</v>
      </c>
    </row>
    <row r="329" spans="1:6" customHeight="1" ht="13.8">
      <c r="A329" t="s">
        <v>835</v>
      </c>
      <c r="B329" t="s">
        <v>836</v>
      </c>
      <c r="C329">
        <v>118898199</v>
      </c>
      <c r="D329" t="s">
        <v>837</v>
      </c>
      <c r="E329">
        <v>7000</v>
      </c>
      <c r="F329" t="s">
        <v>361</v>
      </c>
    </row>
    <row r="330" spans="1:6" customHeight="1" ht="13.8">
      <c r="A330" t="s">
        <v>838</v>
      </c>
      <c r="B330" t="s">
        <v>839</v>
      </c>
      <c r="C330">
        <v>109281768</v>
      </c>
      <c r="D330" t="s">
        <v>840</v>
      </c>
      <c r="E330">
        <v>7000</v>
      </c>
      <c r="F330" t="s">
        <v>361</v>
      </c>
    </row>
    <row r="331" spans="1:6" customHeight="1" ht="13.8">
      <c r="A331" t="s">
        <v>841</v>
      </c>
      <c r="B331" t="s">
        <v>842</v>
      </c>
      <c r="C331" s="1" t="s">
        <v>843</v>
      </c>
      <c r="D331" t="s">
        <v>840</v>
      </c>
      <c r="E331">
        <v>7000</v>
      </c>
      <c r="F331" t="s">
        <v>361</v>
      </c>
    </row>
    <row r="332" spans="1:6" customHeight="1" ht="13.8">
      <c r="A332" t="s">
        <v>844</v>
      </c>
      <c r="B332" t="s">
        <v>845</v>
      </c>
      <c r="C332">
        <v>109338116</v>
      </c>
      <c r="D332" t="s">
        <v>846</v>
      </c>
      <c r="E332">
        <v>7000</v>
      </c>
      <c r="F332" t="s">
        <v>361</v>
      </c>
    </row>
    <row r="333" spans="1:6" customHeight="1" ht="13.8">
      <c r="A333" t="s">
        <v>847</v>
      </c>
      <c r="B333" t="s">
        <v>848</v>
      </c>
      <c r="C333" s="1" t="s">
        <v>849</v>
      </c>
      <c r="D333" t="s">
        <v>850</v>
      </c>
      <c r="E333">
        <v>7000</v>
      </c>
      <c r="F333" t="s">
        <v>361</v>
      </c>
    </row>
    <row r="334" spans="1:6" customHeight="1" ht="13.8">
      <c r="A334" t="s">
        <v>851</v>
      </c>
      <c r="B334" t="s">
        <v>852</v>
      </c>
      <c r="C334" s="1" t="s">
        <v>853</v>
      </c>
      <c r="D334" t="s">
        <v>854</v>
      </c>
      <c r="E334">
        <v>7000</v>
      </c>
      <c r="F334" t="s">
        <v>361</v>
      </c>
    </row>
    <row r="335" spans="1:6" customHeight="1" ht="13.8">
      <c r="A335" t="s">
        <v>855</v>
      </c>
      <c r="B335" t="s">
        <v>856</v>
      </c>
      <c r="C335">
        <v>115571912</v>
      </c>
      <c r="D335" t="s">
        <v>857</v>
      </c>
      <c r="E335">
        <v>7000</v>
      </c>
      <c r="F335" t="s">
        <v>361</v>
      </c>
    </row>
    <row r="336" spans="1:6" customHeight="1" ht="13.8">
      <c r="A336" t="s">
        <v>858</v>
      </c>
      <c r="B336" t="s">
        <v>859</v>
      </c>
      <c r="C336">
        <v>117529074</v>
      </c>
      <c r="D336" t="s">
        <v>860</v>
      </c>
      <c r="E336">
        <v>7000</v>
      </c>
      <c r="F336" t="s">
        <v>361</v>
      </c>
    </row>
    <row r="337" spans="1:6" customHeight="1" ht="13.8">
      <c r="A337" t="s">
        <v>861</v>
      </c>
      <c r="B337" t="s">
        <v>862</v>
      </c>
      <c r="C337" s="1" t="s">
        <v>863</v>
      </c>
      <c r="D337" t="s">
        <v>864</v>
      </c>
      <c r="E337">
        <v>7000</v>
      </c>
      <c r="F337" t="s">
        <v>361</v>
      </c>
    </row>
    <row r="338" spans="1:6" customHeight="1" ht="13.8">
      <c r="A338" t="s">
        <v>865</v>
      </c>
      <c r="B338" t="s">
        <v>866</v>
      </c>
      <c r="C338" s="1" t="s">
        <v>867</v>
      </c>
      <c r="D338" t="s">
        <v>868</v>
      </c>
      <c r="E338">
        <v>7000</v>
      </c>
      <c r="F338" t="s">
        <v>361</v>
      </c>
    </row>
    <row r="339" spans="1:6" customHeight="1" ht="13.8">
      <c r="A339" t="s">
        <v>869</v>
      </c>
      <c r="B339" t="s">
        <v>870</v>
      </c>
      <c r="C339" t="s">
        <v>871</v>
      </c>
      <c r="D339" t="s">
        <v>872</v>
      </c>
      <c r="E339">
        <v>7000</v>
      </c>
      <c r="F339" t="s">
        <v>361</v>
      </c>
    </row>
    <row r="340" spans="1:6" customHeight="1" ht="13.8">
      <c r="A340" t="s">
        <v>873</v>
      </c>
      <c r="B340" t="s">
        <v>874</v>
      </c>
      <c r="C340">
        <v>108267242</v>
      </c>
      <c r="D340" t="s">
        <v>875</v>
      </c>
      <c r="E340">
        <v>7000</v>
      </c>
      <c r="F340" t="s">
        <v>361</v>
      </c>
    </row>
    <row r="341" spans="1:6" customHeight="1" ht="13.8">
      <c r="A341" t="s">
        <v>876</v>
      </c>
      <c r="B341" t="s">
        <v>877</v>
      </c>
      <c r="C341">
        <v>120959620</v>
      </c>
      <c r="D341" t="s">
        <v>878</v>
      </c>
      <c r="E341">
        <v>7000</v>
      </c>
      <c r="F341" t="s">
        <v>361</v>
      </c>
    </row>
    <row r="342" spans="1:6" customHeight="1" ht="13.8">
      <c r="A342" t="s">
        <v>879</v>
      </c>
      <c r="B342" t="s">
        <v>880</v>
      </c>
      <c r="C342" s="1" t="s">
        <v>881</v>
      </c>
      <c r="D342" t="s">
        <v>882</v>
      </c>
      <c r="E342">
        <v>7000</v>
      </c>
      <c r="F342" t="s">
        <v>361</v>
      </c>
    </row>
    <row r="343" spans="1:6" customHeight="1" ht="13.8">
      <c r="A343" t="s">
        <v>883</v>
      </c>
      <c r="B343" t="s">
        <v>884</v>
      </c>
      <c r="C343">
        <v>134434977</v>
      </c>
      <c r="D343" t="s">
        <v>882</v>
      </c>
      <c r="E343">
        <v>7000</v>
      </c>
      <c r="F343" t="s">
        <v>361</v>
      </c>
    </row>
    <row r="344" spans="1:6" customHeight="1" ht="13.8">
      <c r="A344" t="s">
        <v>885</v>
      </c>
      <c r="B344" t="s">
        <v>886</v>
      </c>
      <c r="C344" s="1" t="s">
        <v>887</v>
      </c>
      <c r="D344" t="s">
        <v>888</v>
      </c>
      <c r="E344">
        <v>7000</v>
      </c>
      <c r="F344" t="s">
        <v>361</v>
      </c>
    </row>
    <row r="345" spans="1:6" customHeight="1" ht="13.8">
      <c r="A345" t="s">
        <v>889</v>
      </c>
      <c r="B345" t="s">
        <v>890</v>
      </c>
      <c r="C345">
        <v>121822312</v>
      </c>
      <c r="D345" t="s">
        <v>891</v>
      </c>
      <c r="E345">
        <v>7000</v>
      </c>
      <c r="F345" t="s">
        <v>361</v>
      </c>
    </row>
    <row r="346" spans="1:6" customHeight="1" ht="13.8">
      <c r="A346" t="s">
        <v>892</v>
      </c>
      <c r="B346" t="s">
        <v>893</v>
      </c>
      <c r="C346" s="1" t="s">
        <v>894</v>
      </c>
      <c r="D346" t="s">
        <v>895</v>
      </c>
      <c r="E346">
        <v>7000</v>
      </c>
      <c r="F346" t="s">
        <v>361</v>
      </c>
    </row>
    <row r="347" spans="1:6" customHeight="1" ht="13.8">
      <c r="A347" t="s">
        <v>896</v>
      </c>
      <c r="B347" t="s">
        <v>897</v>
      </c>
      <c r="C347">
        <v>121095260</v>
      </c>
      <c r="D347" t="s">
        <v>898</v>
      </c>
      <c r="E347">
        <v>7000</v>
      </c>
      <c r="F347" t="s">
        <v>361</v>
      </c>
    </row>
    <row r="348" spans="1:6" customHeight="1" ht="13.8">
      <c r="A348" t="s">
        <v>899</v>
      </c>
      <c r="B348" t="s">
        <v>900</v>
      </c>
      <c r="C348" s="1" t="s">
        <v>901</v>
      </c>
      <c r="D348" t="s">
        <v>902</v>
      </c>
      <c r="E348">
        <v>7000</v>
      </c>
      <c r="F348" t="s">
        <v>361</v>
      </c>
    </row>
    <row r="349" spans="1:6" customHeight="1" ht="13.8">
      <c r="A349" t="s">
        <v>903</v>
      </c>
      <c r="B349" t="s">
        <v>904</v>
      </c>
      <c r="C349">
        <v>121103620</v>
      </c>
      <c r="D349" t="s">
        <v>905</v>
      </c>
      <c r="E349">
        <v>7000</v>
      </c>
      <c r="F349" t="s">
        <v>361</v>
      </c>
    </row>
    <row r="350" spans="1:6" customHeight="1" ht="13.8">
      <c r="A350" t="s">
        <v>906</v>
      </c>
      <c r="B350" t="s">
        <v>907</v>
      </c>
      <c r="C350" s="1" t="s">
        <v>908</v>
      </c>
      <c r="D350" t="s">
        <v>909</v>
      </c>
      <c r="E350">
        <v>7000</v>
      </c>
      <c r="F350" t="s">
        <v>361</v>
      </c>
    </row>
    <row r="351" spans="1:6" customHeight="1" ht="13.8">
      <c r="A351" t="s">
        <v>910</v>
      </c>
      <c r="B351" t="s">
        <v>911</v>
      </c>
      <c r="C351">
        <v>117181009</v>
      </c>
      <c r="D351" t="s">
        <v>912</v>
      </c>
      <c r="E351">
        <v>7000</v>
      </c>
      <c r="F351" t="s">
        <v>361</v>
      </c>
    </row>
    <row r="352" spans="1:6" customHeight="1" ht="13.8">
      <c r="A352" t="s">
        <v>913</v>
      </c>
      <c r="B352" t="s">
        <v>914</v>
      </c>
      <c r="C352" s="1" t="s">
        <v>915</v>
      </c>
      <c r="D352" t="s">
        <v>916</v>
      </c>
      <c r="E352">
        <v>7000</v>
      </c>
      <c r="F352" t="s">
        <v>361</v>
      </c>
    </row>
    <row r="353" spans="1:6" customHeight="1" ht="13.8">
      <c r="A353" t="s">
        <v>917</v>
      </c>
      <c r="B353" t="s">
        <v>918</v>
      </c>
      <c r="C353">
        <v>123432959</v>
      </c>
      <c r="D353" t="s">
        <v>919</v>
      </c>
      <c r="E353">
        <v>7000</v>
      </c>
      <c r="F353" t="s">
        <v>361</v>
      </c>
    </row>
    <row r="354" spans="1:6" customHeight="1" ht="13.8">
      <c r="A354" t="s">
        <v>920</v>
      </c>
      <c r="B354" t="s">
        <v>921</v>
      </c>
      <c r="D354" t="s">
        <v>922</v>
      </c>
      <c r="E354">
        <v>7000</v>
      </c>
      <c r="F354" t="s">
        <v>361</v>
      </c>
    </row>
    <row r="355" spans="1:6" customHeight="1" ht="13.8">
      <c r="A355" t="s">
        <v>923</v>
      </c>
      <c r="B355" t="s">
        <v>924</v>
      </c>
      <c r="C355">
        <v>120318715</v>
      </c>
      <c r="D355" t="s">
        <v>925</v>
      </c>
      <c r="E355">
        <v>7000</v>
      </c>
      <c r="F355" t="s">
        <v>361</v>
      </c>
    </row>
    <row r="356" spans="1:6" customHeight="1" ht="13.8">
      <c r="A356" t="s">
        <v>926</v>
      </c>
      <c r="B356" t="s">
        <v>927</v>
      </c>
      <c r="C356" s="1" t="s">
        <v>928</v>
      </c>
      <c r="D356" t="s">
        <v>929</v>
      </c>
      <c r="E356">
        <v>7000</v>
      </c>
      <c r="F356" t="s">
        <v>361</v>
      </c>
    </row>
    <row r="357" spans="1:6" customHeight="1" ht="13.8">
      <c r="A357" t="s">
        <v>930</v>
      </c>
      <c r="B357" t="s">
        <v>931</v>
      </c>
      <c r="C357">
        <v>122327580</v>
      </c>
      <c r="D357" t="s">
        <v>932</v>
      </c>
      <c r="E357">
        <v>7000</v>
      </c>
      <c r="F357" t="s">
        <v>361</v>
      </c>
    </row>
    <row r="358" spans="1:6" customHeight="1" ht="13.8">
      <c r="A358" t="s">
        <v>933</v>
      </c>
      <c r="B358" t="s">
        <v>934</v>
      </c>
      <c r="C358">
        <v>124103612</v>
      </c>
      <c r="D358" t="s">
        <v>935</v>
      </c>
      <c r="E358">
        <v>7000</v>
      </c>
      <c r="F358" t="s">
        <v>361</v>
      </c>
    </row>
    <row r="359" spans="1:6" customHeight="1" ht="13.8">
      <c r="A359" t="s">
        <v>936</v>
      </c>
      <c r="B359" t="s">
        <v>937</v>
      </c>
      <c r="C359">
        <v>114491310</v>
      </c>
      <c r="D359" t="s">
        <v>938</v>
      </c>
      <c r="E359">
        <v>7000</v>
      </c>
      <c r="F359" t="s">
        <v>361</v>
      </c>
    </row>
    <row r="360" spans="1:6" customHeight="1" ht="13.8">
      <c r="A360" t="s">
        <v>939</v>
      </c>
      <c r="B360" t="s">
        <v>940</v>
      </c>
      <c r="C360">
        <v>115917842</v>
      </c>
      <c r="D360" t="s">
        <v>941</v>
      </c>
      <c r="E360">
        <v>7000</v>
      </c>
      <c r="F360" t="s">
        <v>361</v>
      </c>
    </row>
    <row r="361" spans="1:6" customHeight="1" ht="13.8">
      <c r="A361" t="s">
        <v>942</v>
      </c>
      <c r="B361" t="s">
        <v>943</v>
      </c>
      <c r="C361">
        <v>122854404</v>
      </c>
      <c r="D361" t="s">
        <v>944</v>
      </c>
      <c r="E361">
        <v>7000</v>
      </c>
      <c r="F361" t="s">
        <v>361</v>
      </c>
    </row>
    <row r="362" spans="1:6" customHeight="1" ht="13.8">
      <c r="A362" t="s">
        <v>945</v>
      </c>
      <c r="B362" t="s">
        <v>946</v>
      </c>
      <c r="C362" s="1" t="s">
        <v>947</v>
      </c>
      <c r="D362" t="s">
        <v>948</v>
      </c>
      <c r="E362">
        <v>7000</v>
      </c>
      <c r="F362" t="s">
        <v>361</v>
      </c>
    </row>
    <row r="363" spans="1:6" customHeight="1" ht="13.8">
      <c r="A363" t="s">
        <v>949</v>
      </c>
      <c r="B363" t="s">
        <v>950</v>
      </c>
      <c r="C363">
        <v>106813623</v>
      </c>
      <c r="D363" t="s">
        <v>951</v>
      </c>
      <c r="E363">
        <v>7000</v>
      </c>
      <c r="F363" t="s">
        <v>361</v>
      </c>
    </row>
    <row r="364" spans="1:6" customHeight="1" ht="13.8">
      <c r="A364" t="s">
        <v>952</v>
      </c>
      <c r="B364" t="s">
        <v>953</v>
      </c>
      <c r="C364" s="1" t="s">
        <v>954</v>
      </c>
      <c r="D364" t="s">
        <v>955</v>
      </c>
      <c r="E364">
        <v>7000</v>
      </c>
      <c r="F364" t="s">
        <v>361</v>
      </c>
    </row>
    <row r="365" spans="1:6" customHeight="1" ht="13.8">
      <c r="A365" t="s">
        <v>956</v>
      </c>
      <c r="B365" t="s">
        <v>957</v>
      </c>
      <c r="C365">
        <v>116211002</v>
      </c>
      <c r="D365" t="s">
        <v>958</v>
      </c>
      <c r="E365">
        <v>7000</v>
      </c>
      <c r="F365" t="s">
        <v>361</v>
      </c>
    </row>
    <row r="366" spans="1:6" customHeight="1" ht="13.8">
      <c r="A366" t="s">
        <v>959</v>
      </c>
      <c r="B366" t="s">
        <v>960</v>
      </c>
      <c r="C366" s="1" t="s">
        <v>961</v>
      </c>
      <c r="D366" t="s">
        <v>962</v>
      </c>
      <c r="E366">
        <v>7000</v>
      </c>
      <c r="F366" t="s">
        <v>361</v>
      </c>
    </row>
    <row r="367" spans="1:6" customHeight="1" ht="13.8">
      <c r="A367" t="s">
        <v>963</v>
      </c>
      <c r="B367" t="s">
        <v>964</v>
      </c>
      <c r="C367">
        <v>119044519</v>
      </c>
      <c r="D367" t="s">
        <v>965</v>
      </c>
      <c r="E367">
        <v>7000</v>
      </c>
      <c r="F367" t="s">
        <v>361</v>
      </c>
    </row>
    <row r="368" spans="1:6" customHeight="1" ht="13.8">
      <c r="A368" t="s">
        <v>966</v>
      </c>
      <c r="B368" t="s">
        <v>967</v>
      </c>
      <c r="C368">
        <v>148960192</v>
      </c>
      <c r="D368" t="s">
        <v>968</v>
      </c>
      <c r="E368">
        <v>7000</v>
      </c>
      <c r="F368" t="s">
        <v>361</v>
      </c>
    </row>
    <row r="369" spans="1:6" customHeight="1" ht="13.8">
      <c r="A369" t="s">
        <v>969</v>
      </c>
      <c r="B369" t="s">
        <v>970</v>
      </c>
      <c r="C369" s="1" t="s">
        <v>971</v>
      </c>
      <c r="D369" t="s">
        <v>972</v>
      </c>
      <c r="E369">
        <v>7000</v>
      </c>
      <c r="F369" t="s">
        <v>361</v>
      </c>
    </row>
    <row r="370" spans="1:6" customHeight="1" ht="13.8">
      <c r="A370" t="s">
        <v>973</v>
      </c>
      <c r="B370" t="s">
        <v>974</v>
      </c>
      <c r="D370" t="s">
        <v>975</v>
      </c>
      <c r="E370">
        <v>7000</v>
      </c>
      <c r="F370" t="s">
        <v>361</v>
      </c>
    </row>
    <row r="371" spans="1:6" customHeight="1" ht="13.8">
      <c r="A371" t="s">
        <v>976</v>
      </c>
      <c r="B371" t="s">
        <v>977</v>
      </c>
      <c r="C371">
        <v>119874947</v>
      </c>
      <c r="D371" t="s">
        <v>978</v>
      </c>
      <c r="E371">
        <v>7000</v>
      </c>
      <c r="F371" t="s">
        <v>361</v>
      </c>
    </row>
    <row r="372" spans="1:6" customHeight="1" ht="13.8">
      <c r="A372" t="s">
        <v>979</v>
      </c>
      <c r="B372" t="s">
        <v>980</v>
      </c>
      <c r="C372">
        <v>115813469</v>
      </c>
      <c r="D372" t="s">
        <v>981</v>
      </c>
      <c r="E372">
        <v>7000</v>
      </c>
      <c r="F372" t="s">
        <v>361</v>
      </c>
    </row>
    <row r="373" spans="1:6" customHeight="1" ht="13.8">
      <c r="A373" t="s">
        <v>982</v>
      </c>
      <c r="B373" t="s">
        <v>983</v>
      </c>
      <c r="C373">
        <v>120755398</v>
      </c>
      <c r="D373" t="s">
        <v>984</v>
      </c>
      <c r="E373">
        <v>7000</v>
      </c>
      <c r="F373" t="s">
        <v>361</v>
      </c>
    </row>
    <row r="374" spans="1:6" customHeight="1" ht="13.8">
      <c r="A374" t="s">
        <v>985</v>
      </c>
      <c r="B374" t="s">
        <v>986</v>
      </c>
      <c r="C374">
        <v>119982273</v>
      </c>
      <c r="D374" t="s">
        <v>987</v>
      </c>
      <c r="E374">
        <v>7000</v>
      </c>
      <c r="F374" t="s">
        <v>361</v>
      </c>
    </row>
    <row r="375" spans="1:6" customHeight="1" ht="13.8">
      <c r="A375" t="s">
        <v>988</v>
      </c>
      <c r="B375" t="s">
        <v>989</v>
      </c>
      <c r="C375">
        <v>120358676</v>
      </c>
      <c r="D375" t="s">
        <v>990</v>
      </c>
      <c r="E375">
        <v>7000</v>
      </c>
      <c r="F375" t="s">
        <v>361</v>
      </c>
    </row>
    <row r="376" spans="1:6" customHeight="1" ht="13.8">
      <c r="A376" t="s">
        <v>991</v>
      </c>
      <c r="B376" t="s">
        <v>992</v>
      </c>
      <c r="C376">
        <v>109407760</v>
      </c>
      <c r="D376" t="s">
        <v>993</v>
      </c>
      <c r="E376">
        <v>7000</v>
      </c>
      <c r="F376" t="s">
        <v>361</v>
      </c>
    </row>
    <row r="377" spans="1:6" customHeight="1" ht="13.8">
      <c r="A377" t="s">
        <v>994</v>
      </c>
      <c r="B377" t="s">
        <v>995</v>
      </c>
      <c r="C377">
        <v>115008898</v>
      </c>
      <c r="D377" t="s">
        <v>996</v>
      </c>
      <c r="E377">
        <v>7000</v>
      </c>
      <c r="F377" t="s">
        <v>361</v>
      </c>
    </row>
    <row r="378" spans="1:6" customHeight="1" ht="13.8">
      <c r="A378" t="s">
        <v>997</v>
      </c>
      <c r="B378" t="s">
        <v>998</v>
      </c>
      <c r="C378">
        <v>116443614</v>
      </c>
      <c r="D378" t="s">
        <v>999</v>
      </c>
      <c r="E378">
        <v>7000</v>
      </c>
      <c r="F378" t="s">
        <v>361</v>
      </c>
    </row>
    <row r="379" spans="1:6" customHeight="1" ht="13.8">
      <c r="A379" t="s">
        <v>1000</v>
      </c>
      <c r="B379" t="s">
        <v>1001</v>
      </c>
      <c r="C379" s="1" t="s">
        <v>1002</v>
      </c>
      <c r="D379" t="s">
        <v>1003</v>
      </c>
      <c r="E379">
        <v>7000</v>
      </c>
      <c r="F379" t="s">
        <v>361</v>
      </c>
    </row>
    <row r="380" spans="1:6" customHeight="1" ht="13.8">
      <c r="A380" t="s">
        <v>1004</v>
      </c>
      <c r="B380" t="s">
        <v>1005</v>
      </c>
      <c r="C380">
        <v>115751604</v>
      </c>
      <c r="D380" t="s">
        <v>1006</v>
      </c>
      <c r="E380">
        <v>7000</v>
      </c>
      <c r="F380" t="s">
        <v>361</v>
      </c>
    </row>
    <row r="381" spans="1:6" customHeight="1" ht="13.8">
      <c r="A381" t="s">
        <v>1007</v>
      </c>
      <c r="B381" t="s">
        <v>1008</v>
      </c>
      <c r="C381">
        <v>110922962</v>
      </c>
      <c r="D381" t="s">
        <v>1009</v>
      </c>
      <c r="E381">
        <v>7000</v>
      </c>
      <c r="F381" t="s">
        <v>361</v>
      </c>
    </row>
    <row r="382" spans="1:6" customHeight="1" ht="13.8">
      <c r="A382" t="s">
        <v>1010</v>
      </c>
      <c r="B382" t="s">
        <v>1011</v>
      </c>
      <c r="C382">
        <v>117966372</v>
      </c>
      <c r="D382" t="s">
        <v>1012</v>
      </c>
      <c r="E382">
        <v>7000</v>
      </c>
      <c r="F382" t="s">
        <v>361</v>
      </c>
    </row>
    <row r="383" spans="1:6" customHeight="1" ht="13.8">
      <c r="A383" t="s">
        <v>1013</v>
      </c>
      <c r="B383" t="s">
        <v>1014</v>
      </c>
      <c r="C383">
        <v>107931797</v>
      </c>
      <c r="D383" t="s">
        <v>1015</v>
      </c>
      <c r="E383">
        <v>7000</v>
      </c>
      <c r="F383" t="s">
        <v>361</v>
      </c>
    </row>
    <row r="384" spans="1:6" customHeight="1" ht="13.8">
      <c r="A384" t="s">
        <v>1016</v>
      </c>
      <c r="B384" t="s">
        <v>1017</v>
      </c>
      <c r="C384">
        <v>119010464</v>
      </c>
      <c r="D384" t="s">
        <v>1018</v>
      </c>
      <c r="E384">
        <v>7000</v>
      </c>
      <c r="F384" t="s">
        <v>361</v>
      </c>
    </row>
    <row r="385" spans="1:6" customHeight="1" ht="13.8">
      <c r="A385" t="s">
        <v>1019</v>
      </c>
      <c r="B385" t="s">
        <v>1020</v>
      </c>
      <c r="C385">
        <v>142460034</v>
      </c>
      <c r="D385" t="s">
        <v>1021</v>
      </c>
      <c r="E385">
        <v>7000</v>
      </c>
      <c r="F385" t="s">
        <v>361</v>
      </c>
    </row>
    <row r="386" spans="1:6" customHeight="1" ht="13.8">
      <c r="A386" t="s">
        <v>1022</v>
      </c>
      <c r="B386" t="s">
        <v>1023</v>
      </c>
      <c r="C386" s="1" t="s">
        <v>1024</v>
      </c>
      <c r="D386" t="s">
        <v>1025</v>
      </c>
      <c r="E386">
        <v>7000</v>
      </c>
      <c r="F386" t="s">
        <v>361</v>
      </c>
    </row>
    <row r="387" spans="1:6" customHeight="1" ht="13.8">
      <c r="A387" t="s">
        <v>1026</v>
      </c>
      <c r="B387" t="s">
        <v>1027</v>
      </c>
      <c r="C387">
        <v>114625854</v>
      </c>
      <c r="D387" t="s">
        <v>1028</v>
      </c>
      <c r="E387">
        <v>7000</v>
      </c>
      <c r="F387" t="s">
        <v>361</v>
      </c>
    </row>
    <row r="388" spans="1:6" customHeight="1" ht="13.8">
      <c r="A388" t="s">
        <v>1029</v>
      </c>
      <c r="B388" t="s">
        <v>1030</v>
      </c>
      <c r="C388">
        <v>119269813</v>
      </c>
      <c r="D388" t="s">
        <v>1031</v>
      </c>
      <c r="E388">
        <v>7000</v>
      </c>
      <c r="F388" t="s">
        <v>361</v>
      </c>
    </row>
    <row r="389" spans="1:6" customHeight="1" ht="13.8">
      <c r="A389" t="s">
        <v>1032</v>
      </c>
      <c r="B389" t="s">
        <v>1033</v>
      </c>
      <c r="C389" s="1" t="s">
        <v>1034</v>
      </c>
      <c r="D389" t="s">
        <v>1035</v>
      </c>
      <c r="E389">
        <v>7000</v>
      </c>
      <c r="F389" t="s">
        <v>361</v>
      </c>
    </row>
    <row r="390" spans="1:6" customHeight="1" ht="13.8">
      <c r="A390" t="s">
        <v>1036</v>
      </c>
      <c r="B390" t="s">
        <v>1037</v>
      </c>
      <c r="C390">
        <v>119850761</v>
      </c>
      <c r="D390" t="s">
        <v>1038</v>
      </c>
      <c r="E390">
        <v>7000</v>
      </c>
      <c r="F390" t="s">
        <v>361</v>
      </c>
    </row>
    <row r="391" spans="1:6" customHeight="1" ht="13.8">
      <c r="A391" t="s">
        <v>1039</v>
      </c>
      <c r="B391" t="s">
        <v>1040</v>
      </c>
      <c r="C391">
        <v>117041354</v>
      </c>
      <c r="D391" t="s">
        <v>1041</v>
      </c>
      <c r="E391">
        <v>7000</v>
      </c>
      <c r="F391" t="s">
        <v>361</v>
      </c>
    </row>
    <row r="392" spans="1:6" customHeight="1" ht="13.8">
      <c r="A392" t="s">
        <v>1042</v>
      </c>
      <c r="B392" t="s">
        <v>1043</v>
      </c>
      <c r="C392" s="1" t="s">
        <v>1044</v>
      </c>
      <c r="D392" t="s">
        <v>1045</v>
      </c>
      <c r="E392">
        <v>7000</v>
      </c>
      <c r="F392" t="s">
        <v>361</v>
      </c>
    </row>
    <row r="393" spans="1:6" customHeight="1" ht="13.8">
      <c r="A393" t="s">
        <v>1046</v>
      </c>
      <c r="B393" t="s">
        <v>1047</v>
      </c>
      <c r="C393" s="1" t="s">
        <v>1048</v>
      </c>
      <c r="D393" t="s">
        <v>1049</v>
      </c>
      <c r="E393">
        <v>7000</v>
      </c>
      <c r="F393" t="s">
        <v>361</v>
      </c>
    </row>
    <row r="394" spans="1:6" customHeight="1" ht="13.8">
      <c r="A394" t="s">
        <v>1050</v>
      </c>
      <c r="B394" t="s">
        <v>1051</v>
      </c>
      <c r="C394">
        <v>114724988</v>
      </c>
      <c r="D394" t="s">
        <v>1052</v>
      </c>
      <c r="E394">
        <v>7000</v>
      </c>
      <c r="F394" t="s">
        <v>361</v>
      </c>
    </row>
    <row r="395" spans="1:6" customHeight="1" ht="13.8">
      <c r="A395" t="s">
        <v>1053</v>
      </c>
      <c r="B395" t="s">
        <v>1054</v>
      </c>
      <c r="C395">
        <v>122449109</v>
      </c>
      <c r="D395" t="s">
        <v>1055</v>
      </c>
      <c r="E395">
        <v>7000</v>
      </c>
      <c r="F395" t="s">
        <v>361</v>
      </c>
    </row>
    <row r="396" spans="1:6" customHeight="1" ht="13.8">
      <c r="A396" t="s">
        <v>1056</v>
      </c>
      <c r="B396" t="s">
        <v>1057</v>
      </c>
      <c r="C396" s="1" t="s">
        <v>1058</v>
      </c>
      <c r="D396" t="s">
        <v>1059</v>
      </c>
      <c r="E396">
        <v>7000</v>
      </c>
      <c r="F396" t="s">
        <v>361</v>
      </c>
    </row>
    <row r="397" spans="1:6" customHeight="1" ht="13.8">
      <c r="A397" t="s">
        <v>1060</v>
      </c>
      <c r="B397" t="s">
        <v>1061</v>
      </c>
      <c r="C397">
        <v>116408961</v>
      </c>
      <c r="D397" t="s">
        <v>1062</v>
      </c>
      <c r="E397">
        <v>7000</v>
      </c>
      <c r="F397" t="s">
        <v>361</v>
      </c>
    </row>
    <row r="398" spans="1:6" customHeight="1" ht="13.8">
      <c r="A398" t="s">
        <v>1063</v>
      </c>
      <c r="B398" t="s">
        <v>1064</v>
      </c>
      <c r="C398">
        <v>108415340</v>
      </c>
      <c r="D398" t="s">
        <v>1065</v>
      </c>
      <c r="E398">
        <v>7000</v>
      </c>
      <c r="F398" t="s">
        <v>361</v>
      </c>
    </row>
    <row r="399" spans="1:6" customHeight="1" ht="13.8">
      <c r="A399" t="s">
        <v>1066</v>
      </c>
      <c r="B399" t="s">
        <v>1067</v>
      </c>
      <c r="C399" s="1" t="s">
        <v>1068</v>
      </c>
      <c r="D399" t="s">
        <v>1069</v>
      </c>
      <c r="E399">
        <v>7000</v>
      </c>
      <c r="F399" t="s">
        <v>361</v>
      </c>
    </row>
    <row r="400" spans="1:6" customHeight="1" ht="13.8">
      <c r="A400" t="s">
        <v>1070</v>
      </c>
      <c r="B400" t="s">
        <v>1071</v>
      </c>
      <c r="C400" s="1" t="s">
        <v>1072</v>
      </c>
      <c r="D400" t="s">
        <v>1073</v>
      </c>
      <c r="E400">
        <v>7000</v>
      </c>
      <c r="F400" t="s">
        <v>361</v>
      </c>
    </row>
    <row r="401" spans="1:6" customHeight="1" ht="13.8">
      <c r="A401" t="s">
        <v>1074</v>
      </c>
      <c r="B401" t="s">
        <v>1075</v>
      </c>
      <c r="C401" s="1" t="s">
        <v>1076</v>
      </c>
      <c r="D401" t="s">
        <v>1077</v>
      </c>
      <c r="E401">
        <v>7000</v>
      </c>
      <c r="F401" t="s">
        <v>361</v>
      </c>
    </row>
    <row r="402" spans="1:6" customHeight="1" ht="13.8">
      <c r="A402" t="s">
        <v>1078</v>
      </c>
      <c r="B402" t="s">
        <v>1079</v>
      </c>
      <c r="C402" s="1" t="s">
        <v>1080</v>
      </c>
      <c r="D402" t="s">
        <v>1081</v>
      </c>
      <c r="E402">
        <v>7000</v>
      </c>
      <c r="F402" t="s">
        <v>361</v>
      </c>
    </row>
    <row r="403" spans="1:6" customHeight="1" ht="13.8">
      <c r="A403" t="s">
        <v>1082</v>
      </c>
      <c r="B403" t="s">
        <v>1083</v>
      </c>
      <c r="C403">
        <v>114921479</v>
      </c>
      <c r="D403" t="s">
        <v>1084</v>
      </c>
      <c r="E403">
        <v>7000</v>
      </c>
      <c r="F403" t="s">
        <v>361</v>
      </c>
    </row>
    <row r="404" spans="1:6" customHeight="1" ht="13.8">
      <c r="A404" t="s">
        <v>1085</v>
      </c>
      <c r="B404" t="s">
        <v>1086</v>
      </c>
      <c r="C404">
        <v>131388675</v>
      </c>
      <c r="D404" t="s">
        <v>1087</v>
      </c>
      <c r="E404">
        <v>7000</v>
      </c>
      <c r="F404" t="s">
        <v>361</v>
      </c>
    </row>
    <row r="405" spans="1:6" customHeight="1" ht="13.8">
      <c r="A405" t="s">
        <v>1088</v>
      </c>
      <c r="B405" t="s">
        <v>1089</v>
      </c>
      <c r="C405">
        <v>119525625</v>
      </c>
      <c r="D405" t="s">
        <v>1090</v>
      </c>
      <c r="E405">
        <v>7000</v>
      </c>
      <c r="F405" t="s">
        <v>361</v>
      </c>
    </row>
    <row r="406" spans="1:6" customHeight="1" ht="13.8">
      <c r="A406" t="s">
        <v>1091</v>
      </c>
      <c r="B406" t="s">
        <v>1083</v>
      </c>
      <c r="C406">
        <v>114921479</v>
      </c>
      <c r="D406" t="s">
        <v>1092</v>
      </c>
      <c r="E406">
        <v>7000</v>
      </c>
      <c r="F406" t="s">
        <v>361</v>
      </c>
    </row>
    <row r="407" spans="1:6" customHeight="1" ht="13.8">
      <c r="A407" t="s">
        <v>1093</v>
      </c>
      <c r="B407" t="s">
        <v>1094</v>
      </c>
      <c r="C407">
        <v>119782028</v>
      </c>
      <c r="D407" t="s">
        <v>1095</v>
      </c>
      <c r="E407">
        <v>7000</v>
      </c>
      <c r="F407" t="s">
        <v>361</v>
      </c>
    </row>
    <row r="408" spans="1:6" customHeight="1" ht="13.8">
      <c r="A408" t="s">
        <v>1096</v>
      </c>
      <c r="B408" t="s">
        <v>1097</v>
      </c>
      <c r="C408" t="s">
        <v>1098</v>
      </c>
      <c r="D408" t="s">
        <v>1099</v>
      </c>
      <c r="E408">
        <v>7000</v>
      </c>
      <c r="F408" t="s">
        <v>361</v>
      </c>
    </row>
    <row r="409" spans="1:6" customHeight="1" ht="13.8">
      <c r="A409" t="s">
        <v>1100</v>
      </c>
      <c r="B409" t="s">
        <v>1101</v>
      </c>
      <c r="C409" s="1" t="s">
        <v>1102</v>
      </c>
      <c r="D409" t="s">
        <v>1103</v>
      </c>
      <c r="E409">
        <v>7000</v>
      </c>
      <c r="F409" t="s">
        <v>361</v>
      </c>
    </row>
    <row r="410" spans="1:6" customHeight="1" ht="13.8">
      <c r="A410" t="s">
        <v>1104</v>
      </c>
      <c r="B410" t="s">
        <v>1105</v>
      </c>
      <c r="C410" s="1" t="s">
        <v>1106</v>
      </c>
      <c r="D410" t="s">
        <v>1107</v>
      </c>
      <c r="E410">
        <v>7000</v>
      </c>
      <c r="F410" t="s">
        <v>361</v>
      </c>
    </row>
    <row r="411" spans="1:6" customHeight="1" ht="13.8">
      <c r="A411" t="s">
        <v>1108</v>
      </c>
      <c r="B411" t="s">
        <v>1109</v>
      </c>
      <c r="C411" s="1" t="s">
        <v>1110</v>
      </c>
      <c r="D411" t="s">
        <v>1111</v>
      </c>
      <c r="E411">
        <v>7000</v>
      </c>
      <c r="F411" t="s">
        <v>361</v>
      </c>
    </row>
    <row r="412" spans="1:6" customHeight="1" ht="13.8">
      <c r="A412" t="s">
        <v>1112</v>
      </c>
      <c r="B412" t="s">
        <v>1113</v>
      </c>
      <c r="C412" s="1" t="s">
        <v>1114</v>
      </c>
      <c r="D412" t="s">
        <v>1115</v>
      </c>
      <c r="E412">
        <v>7000</v>
      </c>
      <c r="F412" t="s">
        <v>361</v>
      </c>
    </row>
    <row r="413" spans="1:6" customHeight="1" ht="13.8">
      <c r="A413" t="s">
        <v>1116</v>
      </c>
      <c r="B413" t="s">
        <v>1117</v>
      </c>
      <c r="C413" s="1" t="s">
        <v>1118</v>
      </c>
      <c r="D413" t="s">
        <v>1119</v>
      </c>
      <c r="E413">
        <v>7000</v>
      </c>
      <c r="F413" t="s">
        <v>361</v>
      </c>
    </row>
    <row r="414" spans="1:6" customHeight="1" ht="13.8">
      <c r="A414" t="s">
        <v>1120</v>
      </c>
      <c r="B414" t="s">
        <v>1121</v>
      </c>
      <c r="C414">
        <v>119593309</v>
      </c>
      <c r="D414" t="s">
        <v>1122</v>
      </c>
      <c r="E414">
        <v>7000</v>
      </c>
      <c r="F414" t="s">
        <v>361</v>
      </c>
    </row>
    <row r="415" spans="1:6" customHeight="1" ht="13.8">
      <c r="A415" t="s">
        <v>1123</v>
      </c>
      <c r="B415" t="s">
        <v>1124</v>
      </c>
      <c r="C415">
        <v>114280275</v>
      </c>
      <c r="D415" t="s">
        <v>1125</v>
      </c>
      <c r="E415">
        <v>7000</v>
      </c>
      <c r="F415" t="s">
        <v>361</v>
      </c>
    </row>
    <row r="416" spans="1:6" customHeight="1" ht="13.8">
      <c r="A416" t="s">
        <v>1126</v>
      </c>
      <c r="B416" t="s">
        <v>1127</v>
      </c>
      <c r="C416" s="1" t="s">
        <v>1128</v>
      </c>
      <c r="D416" t="s">
        <v>1129</v>
      </c>
      <c r="E416">
        <v>7000</v>
      </c>
      <c r="F416" t="s">
        <v>361</v>
      </c>
    </row>
    <row r="417" spans="1:6" customHeight="1" ht="13.8">
      <c r="A417" t="s">
        <v>1130</v>
      </c>
      <c r="B417" t="s">
        <v>1131</v>
      </c>
      <c r="C417">
        <v>120991482</v>
      </c>
      <c r="D417" t="s">
        <v>1132</v>
      </c>
      <c r="E417">
        <v>7000</v>
      </c>
      <c r="F417" t="s">
        <v>361</v>
      </c>
    </row>
    <row r="418" spans="1:6" customHeight="1" ht="13.8">
      <c r="A418" t="s">
        <v>1133</v>
      </c>
      <c r="B418" t="s">
        <v>1134</v>
      </c>
      <c r="C418">
        <v>122144763</v>
      </c>
      <c r="D418" t="s">
        <v>1135</v>
      </c>
      <c r="E418">
        <v>7000</v>
      </c>
      <c r="F418" t="s">
        <v>361</v>
      </c>
    </row>
    <row r="419" spans="1:6" customHeight="1" ht="13.8">
      <c r="A419" t="s">
        <v>1136</v>
      </c>
      <c r="B419" t="s">
        <v>1137</v>
      </c>
      <c r="C419">
        <v>150429311</v>
      </c>
      <c r="D419" t="s">
        <v>1138</v>
      </c>
      <c r="E419">
        <v>7000</v>
      </c>
      <c r="F419" t="s">
        <v>361</v>
      </c>
    </row>
    <row r="420" spans="1:6" customHeight="1" ht="13.8">
      <c r="A420" t="s">
        <v>1139</v>
      </c>
      <c r="B420" t="s">
        <v>1140</v>
      </c>
      <c r="C420" s="1" t="s">
        <v>1141</v>
      </c>
      <c r="D420" t="s">
        <v>1142</v>
      </c>
      <c r="E420">
        <v>7000</v>
      </c>
      <c r="F420" t="s">
        <v>361</v>
      </c>
    </row>
    <row r="421" spans="1:6" customHeight="1" ht="13.8">
      <c r="A421" t="s">
        <v>1143</v>
      </c>
      <c r="B421" t="s">
        <v>1144</v>
      </c>
      <c r="C421">
        <v>107664600</v>
      </c>
      <c r="D421" t="s">
        <v>1145</v>
      </c>
      <c r="E421">
        <v>7000</v>
      </c>
      <c r="F421" t="s">
        <v>361</v>
      </c>
    </row>
    <row r="422" spans="1:6" customHeight="1" ht="13.8">
      <c r="A422" t="s">
        <v>1146</v>
      </c>
      <c r="B422" t="s">
        <v>1147</v>
      </c>
      <c r="C422" t="s">
        <v>1148</v>
      </c>
      <c r="D422" t="s">
        <v>1149</v>
      </c>
      <c r="E422">
        <v>7000</v>
      </c>
      <c r="F422" t="s">
        <v>361</v>
      </c>
    </row>
    <row r="423" spans="1:6" customHeight="1" ht="13.8">
      <c r="A423" t="s">
        <v>1150</v>
      </c>
      <c r="B423" t="s">
        <v>1151</v>
      </c>
      <c r="C423">
        <v>146121205</v>
      </c>
      <c r="D423" t="s">
        <v>1152</v>
      </c>
      <c r="E423">
        <v>7000</v>
      </c>
      <c r="F423" t="s">
        <v>361</v>
      </c>
    </row>
    <row r="424" spans="1:6" customHeight="1" ht="13.8">
      <c r="A424" t="s">
        <v>1153</v>
      </c>
      <c r="B424" t="s">
        <v>1154</v>
      </c>
      <c r="C424">
        <v>118809168</v>
      </c>
      <c r="D424" t="s">
        <v>1155</v>
      </c>
      <c r="E424">
        <v>7000</v>
      </c>
      <c r="F424" t="s">
        <v>361</v>
      </c>
    </row>
    <row r="425" spans="1:6" customHeight="1" ht="13.8">
      <c r="A425" t="s">
        <v>1156</v>
      </c>
      <c r="B425" t="s">
        <v>1157</v>
      </c>
      <c r="C425">
        <v>119977701</v>
      </c>
      <c r="D425" t="s">
        <v>1158</v>
      </c>
      <c r="E425">
        <v>7000</v>
      </c>
      <c r="F425" t="s">
        <v>361</v>
      </c>
    </row>
    <row r="426" spans="1:6" customHeight="1" ht="13.8">
      <c r="A426" t="s">
        <v>1159</v>
      </c>
      <c r="B426" t="s">
        <v>1160</v>
      </c>
      <c r="C426" s="1" t="s">
        <v>1161</v>
      </c>
      <c r="D426" t="s">
        <v>1162</v>
      </c>
      <c r="E426">
        <v>7000</v>
      </c>
      <c r="F426" t="s">
        <v>361</v>
      </c>
    </row>
    <row r="427" spans="1:6" customHeight="1" ht="13.8">
      <c r="A427" t="s">
        <v>1163</v>
      </c>
      <c r="B427" t="s">
        <v>1164</v>
      </c>
      <c r="C427">
        <v>111199732</v>
      </c>
      <c r="D427" t="s">
        <v>1165</v>
      </c>
      <c r="E427">
        <v>7000</v>
      </c>
      <c r="F427" t="s">
        <v>361</v>
      </c>
    </row>
    <row r="428" spans="1:6" customHeight="1" ht="13.8">
      <c r="A428" t="s">
        <v>1166</v>
      </c>
      <c r="B428" t="s">
        <v>1167</v>
      </c>
      <c r="C428" s="1" t="s">
        <v>1168</v>
      </c>
      <c r="D428" t="s">
        <v>1169</v>
      </c>
      <c r="E428">
        <v>7000</v>
      </c>
      <c r="F428" t="s">
        <v>361</v>
      </c>
    </row>
    <row r="429" spans="1:6" customHeight="1" ht="13.8">
      <c r="A429" t="s">
        <v>1170</v>
      </c>
      <c r="B429" t="s">
        <v>1171</v>
      </c>
      <c r="C429">
        <v>118861359</v>
      </c>
      <c r="D429" t="s">
        <v>1172</v>
      </c>
      <c r="E429">
        <v>7000</v>
      </c>
      <c r="F429" t="s">
        <v>361</v>
      </c>
    </row>
    <row r="430" spans="1:6" customHeight="1" ht="13.8">
      <c r="A430" t="s">
        <v>1173</v>
      </c>
      <c r="B430" t="s">
        <v>1174</v>
      </c>
      <c r="C430">
        <v>112094197</v>
      </c>
      <c r="D430" t="s">
        <v>1175</v>
      </c>
      <c r="E430">
        <v>7000</v>
      </c>
      <c r="F430" t="s">
        <v>361</v>
      </c>
    </row>
    <row r="431" spans="1:6" customHeight="1" ht="13.8">
      <c r="A431" t="s">
        <v>1176</v>
      </c>
      <c r="B431" t="s">
        <v>1177</v>
      </c>
      <c r="C431" s="1" t="s">
        <v>1178</v>
      </c>
      <c r="D431" t="s">
        <v>1179</v>
      </c>
      <c r="E431">
        <v>7000</v>
      </c>
      <c r="F431" t="s">
        <v>361</v>
      </c>
    </row>
    <row r="432" spans="1:6" customHeight="1" ht="13.8">
      <c r="A432" t="s">
        <v>1180</v>
      </c>
      <c r="B432" t="s">
        <v>1177</v>
      </c>
      <c r="C432" s="1" t="s">
        <v>1178</v>
      </c>
      <c r="D432" t="s">
        <v>1181</v>
      </c>
      <c r="E432">
        <v>7000</v>
      </c>
      <c r="F432" t="s">
        <v>361</v>
      </c>
    </row>
    <row r="433" spans="1:6" customHeight="1" ht="13.8">
      <c r="A433" t="s">
        <v>1182</v>
      </c>
      <c r="B433" t="s">
        <v>1183</v>
      </c>
      <c r="C433" s="1" t="s">
        <v>1184</v>
      </c>
      <c r="D433" t="s">
        <v>1185</v>
      </c>
      <c r="E433">
        <v>7000</v>
      </c>
      <c r="F433" t="s">
        <v>361</v>
      </c>
    </row>
    <row r="434" spans="1:6" customHeight="1" ht="13.8">
      <c r="A434" t="s">
        <v>1186</v>
      </c>
      <c r="B434" t="s">
        <v>1187</v>
      </c>
      <c r="C434" s="1" t="s">
        <v>1188</v>
      </c>
      <c r="D434" t="s">
        <v>1189</v>
      </c>
      <c r="E434">
        <v>7000</v>
      </c>
      <c r="F434" t="s">
        <v>361</v>
      </c>
    </row>
    <row r="435" spans="1:6" customHeight="1" ht="13.8">
      <c r="A435" t="s">
        <v>1190</v>
      </c>
      <c r="B435" t="s">
        <v>1191</v>
      </c>
      <c r="C435">
        <v>124906475</v>
      </c>
      <c r="D435" t="s">
        <v>1192</v>
      </c>
      <c r="E435">
        <v>7000</v>
      </c>
      <c r="F435" t="s">
        <v>361</v>
      </c>
    </row>
    <row r="436" spans="1:6" customHeight="1" ht="13.8">
      <c r="A436" t="s">
        <v>1193</v>
      </c>
      <c r="B436" t="s">
        <v>1194</v>
      </c>
      <c r="C436" s="1" t="s">
        <v>1195</v>
      </c>
      <c r="D436" t="s">
        <v>1196</v>
      </c>
      <c r="E436">
        <v>7000</v>
      </c>
      <c r="F436" t="s">
        <v>361</v>
      </c>
    </row>
    <row r="437" spans="1:6" customHeight="1" ht="13.8">
      <c r="A437" t="s">
        <v>1197</v>
      </c>
      <c r="B437" t="s">
        <v>1198</v>
      </c>
      <c r="C437" s="1" t="s">
        <v>1199</v>
      </c>
      <c r="D437" t="s">
        <v>1200</v>
      </c>
      <c r="E437">
        <v>7000</v>
      </c>
      <c r="F437" t="s">
        <v>361</v>
      </c>
    </row>
    <row r="438" spans="1:6" customHeight="1" ht="13.8">
      <c r="A438" t="s">
        <v>1201</v>
      </c>
      <c r="B438" t="s">
        <v>1202</v>
      </c>
      <c r="C438" s="1" t="s">
        <v>1203</v>
      </c>
      <c r="D438" t="s">
        <v>1204</v>
      </c>
      <c r="E438">
        <v>7000</v>
      </c>
      <c r="F438" t="s">
        <v>361</v>
      </c>
    </row>
    <row r="439" spans="1:6" customHeight="1" ht="13.8">
      <c r="A439" t="s">
        <v>1205</v>
      </c>
      <c r="B439" t="s">
        <v>1206</v>
      </c>
      <c r="C439" s="1" t="s">
        <v>1207</v>
      </c>
      <c r="D439" t="s">
        <v>1208</v>
      </c>
      <c r="E439">
        <v>7000</v>
      </c>
      <c r="F439" t="s">
        <v>361</v>
      </c>
    </row>
    <row r="440" spans="1:6" customHeight="1" ht="13.8">
      <c r="A440" t="s">
        <v>1209</v>
      </c>
      <c r="B440" t="s">
        <v>1210</v>
      </c>
      <c r="C440" s="1" t="s">
        <v>1211</v>
      </c>
      <c r="D440" t="s">
        <v>1212</v>
      </c>
      <c r="E440">
        <v>7000</v>
      </c>
      <c r="F440" t="s">
        <v>361</v>
      </c>
    </row>
    <row r="441" spans="1:6" customHeight="1" ht="13.8">
      <c r="A441" t="s">
        <v>1213</v>
      </c>
      <c r="B441" t="s">
        <v>1214</v>
      </c>
      <c r="C441">
        <v>123230171</v>
      </c>
      <c r="D441" t="s">
        <v>1215</v>
      </c>
      <c r="E441">
        <v>7000</v>
      </c>
      <c r="F441" t="s">
        <v>361</v>
      </c>
    </row>
    <row r="442" spans="1:6" customHeight="1" ht="13.8">
      <c r="A442" t="s">
        <v>1216</v>
      </c>
      <c r="B442" t="s">
        <v>1217</v>
      </c>
      <c r="C442">
        <v>139822519</v>
      </c>
      <c r="D442" t="s">
        <v>1218</v>
      </c>
      <c r="E442">
        <v>7000</v>
      </c>
      <c r="F442" t="s">
        <v>361</v>
      </c>
    </row>
    <row r="443" spans="1:6" customHeight="1" ht="13.8">
      <c r="A443" t="s">
        <v>1219</v>
      </c>
      <c r="B443" t="s">
        <v>1220</v>
      </c>
      <c r="C443">
        <v>146429367</v>
      </c>
      <c r="D443" t="s">
        <v>1221</v>
      </c>
      <c r="E443">
        <v>7000</v>
      </c>
      <c r="F443" t="s">
        <v>361</v>
      </c>
    </row>
    <row r="444" spans="1:6" customHeight="1" ht="13.8">
      <c r="A444" t="s">
        <v>1222</v>
      </c>
      <c r="B444" t="s">
        <v>1223</v>
      </c>
      <c r="C444" s="1" t="s">
        <v>1224</v>
      </c>
      <c r="D444" t="s">
        <v>1225</v>
      </c>
      <c r="E444">
        <v>7000</v>
      </c>
      <c r="F444" t="s">
        <v>361</v>
      </c>
    </row>
    <row r="445" spans="1:6" customHeight="1" ht="13.8">
      <c r="A445" t="s">
        <v>1226</v>
      </c>
      <c r="B445" t="s">
        <v>1227</v>
      </c>
      <c r="C445">
        <v>117957266</v>
      </c>
      <c r="D445" t="s">
        <v>1228</v>
      </c>
      <c r="E445">
        <v>7000</v>
      </c>
      <c r="F445" t="s">
        <v>361</v>
      </c>
    </row>
    <row r="446" spans="1:6" customHeight="1" ht="13.8">
      <c r="A446" t="s">
        <v>1229</v>
      </c>
      <c r="B446" t="s">
        <v>1230</v>
      </c>
      <c r="C446" s="1" t="s">
        <v>1231</v>
      </c>
      <c r="D446" t="s">
        <v>1232</v>
      </c>
      <c r="E446">
        <v>7000</v>
      </c>
      <c r="F446" t="s">
        <v>361</v>
      </c>
    </row>
    <row r="447" spans="1:6" customHeight="1" ht="13.8">
      <c r="A447" t="s">
        <v>1233</v>
      </c>
      <c r="B447" t="s">
        <v>1234</v>
      </c>
      <c r="C447">
        <v>123258984</v>
      </c>
      <c r="D447" t="s">
        <v>1235</v>
      </c>
      <c r="E447">
        <v>7000</v>
      </c>
      <c r="F447" t="s">
        <v>361</v>
      </c>
    </row>
    <row r="448" spans="1:6" customHeight="1" ht="13.8">
      <c r="A448" t="s">
        <v>1236</v>
      </c>
      <c r="B448" t="s">
        <v>1237</v>
      </c>
      <c r="C448">
        <v>124635397</v>
      </c>
      <c r="D448" t="s">
        <v>1238</v>
      </c>
      <c r="E448">
        <v>7000</v>
      </c>
      <c r="F448" t="s">
        <v>361</v>
      </c>
    </row>
    <row r="449" spans="1:6" customHeight="1" ht="13.8">
      <c r="A449" t="s">
        <v>1239</v>
      </c>
      <c r="B449" t="s">
        <v>1240</v>
      </c>
      <c r="C449">
        <v>150404444</v>
      </c>
      <c r="D449" t="s">
        <v>1241</v>
      </c>
      <c r="E449">
        <v>7000</v>
      </c>
      <c r="F449" t="s">
        <v>361</v>
      </c>
    </row>
    <row r="450" spans="1:6" customHeight="1" ht="13.8">
      <c r="A450" t="s">
        <v>1242</v>
      </c>
      <c r="B450" t="s">
        <v>1243</v>
      </c>
      <c r="C450">
        <v>118737513</v>
      </c>
      <c r="D450" t="s">
        <v>1244</v>
      </c>
      <c r="E450">
        <v>7000</v>
      </c>
      <c r="F450" t="s">
        <v>361</v>
      </c>
    </row>
    <row r="451" spans="1:6" customHeight="1" ht="13.8">
      <c r="A451" t="s">
        <v>1245</v>
      </c>
      <c r="B451" t="s">
        <v>1246</v>
      </c>
      <c r="C451" s="1" t="s">
        <v>1247</v>
      </c>
      <c r="D451" t="s">
        <v>1248</v>
      </c>
      <c r="E451">
        <v>7000</v>
      </c>
      <c r="F451" t="s">
        <v>361</v>
      </c>
    </row>
    <row r="452" spans="1:6" customHeight="1" ht="13.8">
      <c r="A452" t="s">
        <v>1249</v>
      </c>
      <c r="B452" t="s">
        <v>1250</v>
      </c>
      <c r="C452" s="1" t="s">
        <v>1251</v>
      </c>
      <c r="D452" t="s">
        <v>1252</v>
      </c>
      <c r="E452">
        <v>7000</v>
      </c>
      <c r="F452" t="s">
        <v>361</v>
      </c>
    </row>
    <row r="453" spans="1:6" customHeight="1" ht="13.8">
      <c r="A453" t="s">
        <v>1253</v>
      </c>
      <c r="B453" t="s">
        <v>1254</v>
      </c>
      <c r="C453">
        <v>146877249</v>
      </c>
      <c r="D453" t="s">
        <v>1255</v>
      </c>
      <c r="E453">
        <v>7000</v>
      </c>
      <c r="F453" t="s">
        <v>361</v>
      </c>
    </row>
    <row r="454" spans="1:6" customHeight="1" ht="13.8">
      <c r="A454" t="s">
        <v>1256</v>
      </c>
      <c r="B454" t="s">
        <v>1257</v>
      </c>
      <c r="C454">
        <v>119743889</v>
      </c>
      <c r="D454" t="s">
        <v>1258</v>
      </c>
      <c r="E454">
        <v>7000</v>
      </c>
      <c r="F454" t="s">
        <v>361</v>
      </c>
    </row>
    <row r="455" spans="1:6" customHeight="1" ht="13.8">
      <c r="A455" t="s">
        <v>1259</v>
      </c>
      <c r="B455" t="s">
        <v>1260</v>
      </c>
      <c r="C455">
        <v>142231650</v>
      </c>
      <c r="D455" t="s">
        <v>1261</v>
      </c>
      <c r="E455">
        <v>7000</v>
      </c>
      <c r="F455" t="s">
        <v>361</v>
      </c>
    </row>
    <row r="456" spans="1:6" customHeight="1" ht="13.8">
      <c r="A456" t="s">
        <v>1262</v>
      </c>
      <c r="B456" t="s">
        <v>1263</v>
      </c>
      <c r="C456" s="1" t="s">
        <v>1264</v>
      </c>
      <c r="D456" t="s">
        <v>1265</v>
      </c>
      <c r="E456">
        <v>7000</v>
      </c>
      <c r="F456" t="s">
        <v>361</v>
      </c>
    </row>
    <row r="457" spans="1:6" customHeight="1" ht="13.8">
      <c r="A457" t="s">
        <v>1266</v>
      </c>
      <c r="B457" t="s">
        <v>1267</v>
      </c>
      <c r="C457" s="1" t="s">
        <v>1268</v>
      </c>
      <c r="D457" t="s">
        <v>1269</v>
      </c>
      <c r="E457">
        <v>7000</v>
      </c>
      <c r="F457" t="s">
        <v>361</v>
      </c>
    </row>
    <row r="458" spans="1:6" customHeight="1" ht="13.8">
      <c r="A458" t="s">
        <v>1270</v>
      </c>
      <c r="B458" t="s">
        <v>1271</v>
      </c>
      <c r="C458">
        <v>124890600</v>
      </c>
      <c r="D458" t="s">
        <v>1272</v>
      </c>
      <c r="E458">
        <v>7000</v>
      </c>
      <c r="F458" t="s">
        <v>361</v>
      </c>
    </row>
    <row r="459" spans="1:6" customHeight="1" ht="13.8">
      <c r="A459" t="s">
        <v>226</v>
      </c>
      <c r="B459" t="s">
        <v>227</v>
      </c>
      <c r="C459" s="1" t="s">
        <v>228</v>
      </c>
      <c r="D459" t="s">
        <v>229</v>
      </c>
      <c r="E459">
        <v>7000</v>
      </c>
      <c r="F459" t="s">
        <v>361</v>
      </c>
    </row>
    <row r="460" spans="1:6" customHeight="1" ht="13.8">
      <c r="A460" t="s">
        <v>1273</v>
      </c>
      <c r="B460" t="s">
        <v>1274</v>
      </c>
      <c r="C460" s="1" t="s">
        <v>1275</v>
      </c>
      <c r="D460" t="s">
        <v>1276</v>
      </c>
      <c r="E460">
        <v>7000</v>
      </c>
      <c r="F460" t="s">
        <v>361</v>
      </c>
    </row>
    <row r="461" spans="1:6" customHeight="1" ht="13.8">
      <c r="A461" t="s">
        <v>1277</v>
      </c>
      <c r="B461" t="s">
        <v>1278</v>
      </c>
      <c r="C461">
        <v>117963962</v>
      </c>
      <c r="D461" t="s">
        <v>1279</v>
      </c>
      <c r="E461">
        <v>7000</v>
      </c>
      <c r="F461" t="s">
        <v>361</v>
      </c>
    </row>
    <row r="462" spans="1:6" customHeight="1" ht="13.8">
      <c r="A462" t="s">
        <v>1280</v>
      </c>
      <c r="B462" t="s">
        <v>1281</v>
      </c>
      <c r="C462" s="1" t="s">
        <v>1282</v>
      </c>
      <c r="D462" t="s">
        <v>1283</v>
      </c>
      <c r="E462">
        <v>7000</v>
      </c>
      <c r="F462" t="s">
        <v>361</v>
      </c>
    </row>
    <row r="463" spans="1:6" customHeight="1" ht="13.8">
      <c r="A463" t="s">
        <v>1284</v>
      </c>
      <c r="B463" t="s">
        <v>1285</v>
      </c>
      <c r="C463" s="1" t="s">
        <v>1286</v>
      </c>
      <c r="D463" t="s">
        <v>1287</v>
      </c>
      <c r="E463">
        <v>7000</v>
      </c>
      <c r="F463" t="s">
        <v>361</v>
      </c>
    </row>
    <row r="464" spans="1:6" customHeight="1" ht="13.8">
      <c r="A464" t="s">
        <v>1288</v>
      </c>
      <c r="B464" t="s">
        <v>1289</v>
      </c>
      <c r="C464">
        <v>114200192</v>
      </c>
      <c r="D464" t="s">
        <v>1290</v>
      </c>
      <c r="E464">
        <v>7000</v>
      </c>
      <c r="F464" t="s">
        <v>361</v>
      </c>
    </row>
    <row r="465" spans="1:6" customHeight="1" ht="13.8">
      <c r="A465" t="s">
        <v>1291</v>
      </c>
      <c r="B465" t="s">
        <v>1292</v>
      </c>
      <c r="C465">
        <v>116355212</v>
      </c>
      <c r="D465" t="s">
        <v>1293</v>
      </c>
      <c r="E465">
        <v>7000</v>
      </c>
      <c r="F465" t="s">
        <v>361</v>
      </c>
    </row>
    <row r="466" spans="1:6" customHeight="1" ht="13.8">
      <c r="A466" t="s">
        <v>1294</v>
      </c>
      <c r="B466" t="s">
        <v>1295</v>
      </c>
      <c r="C466" s="1" t="s">
        <v>1296</v>
      </c>
      <c r="D466" t="s">
        <v>1297</v>
      </c>
      <c r="E466">
        <v>7000</v>
      </c>
      <c r="F466" t="s">
        <v>361</v>
      </c>
    </row>
    <row r="467" spans="1:6" customHeight="1" ht="13.8">
      <c r="A467" t="s">
        <v>1298</v>
      </c>
      <c r="B467" t="s">
        <v>1299</v>
      </c>
      <c r="C467">
        <v>115842746</v>
      </c>
      <c r="D467" t="s">
        <v>1300</v>
      </c>
      <c r="E467">
        <v>7000</v>
      </c>
      <c r="F467" t="s">
        <v>361</v>
      </c>
    </row>
    <row r="468" spans="1:6" customHeight="1" ht="13.8">
      <c r="A468" t="s">
        <v>1301</v>
      </c>
      <c r="B468" t="s">
        <v>1302</v>
      </c>
      <c r="C468">
        <v>107493835</v>
      </c>
      <c r="D468" t="s">
        <v>1303</v>
      </c>
      <c r="E468">
        <v>7000</v>
      </c>
      <c r="F468" t="s">
        <v>361</v>
      </c>
    </row>
    <row r="469" spans="1:6" customHeight="1" ht="13.8">
      <c r="A469" t="s">
        <v>1304</v>
      </c>
      <c r="B469" t="s">
        <v>1305</v>
      </c>
      <c r="C469">
        <v>119991633</v>
      </c>
      <c r="D469" t="s">
        <v>1306</v>
      </c>
      <c r="E469">
        <v>7000</v>
      </c>
      <c r="F469" t="s">
        <v>361</v>
      </c>
    </row>
    <row r="470" spans="1:6" customHeight="1" ht="13.8">
      <c r="A470" t="s">
        <v>1307</v>
      </c>
      <c r="B470" t="s">
        <v>1308</v>
      </c>
      <c r="C470" s="1" t="s">
        <v>1309</v>
      </c>
      <c r="D470" t="s">
        <v>1310</v>
      </c>
      <c r="E470">
        <v>7000</v>
      </c>
      <c r="F470" t="s">
        <v>361</v>
      </c>
    </row>
    <row r="471" spans="1:6" customHeight="1" ht="13.8">
      <c r="A471" t="s">
        <v>1311</v>
      </c>
      <c r="B471" t="s">
        <v>1312</v>
      </c>
      <c r="C471">
        <v>119815427</v>
      </c>
      <c r="D471" t="s">
        <v>1313</v>
      </c>
      <c r="E471">
        <v>7000</v>
      </c>
      <c r="F471" t="s">
        <v>361</v>
      </c>
    </row>
    <row r="472" spans="1:6" customHeight="1" ht="13.8">
      <c r="A472" t="s">
        <v>1314</v>
      </c>
      <c r="B472" t="s">
        <v>1315</v>
      </c>
      <c r="C472" s="1" t="s">
        <v>1316</v>
      </c>
      <c r="D472" t="s">
        <v>1317</v>
      </c>
      <c r="E472">
        <v>7000</v>
      </c>
      <c r="F472" t="s">
        <v>361</v>
      </c>
    </row>
    <row r="473" spans="1:6" customHeight="1" ht="13.8">
      <c r="A473" t="s">
        <v>1318</v>
      </c>
      <c r="B473" t="s">
        <v>1319</v>
      </c>
      <c r="C473">
        <v>137818756</v>
      </c>
      <c r="D473" t="s">
        <v>1320</v>
      </c>
      <c r="E473">
        <v>7000</v>
      </c>
      <c r="F473" t="s">
        <v>361</v>
      </c>
    </row>
    <row r="474" spans="1:6" customHeight="1" ht="13.8">
      <c r="A474" t="s">
        <v>1321</v>
      </c>
      <c r="B474" t="s">
        <v>1322</v>
      </c>
      <c r="C474" s="1" t="s">
        <v>1323</v>
      </c>
      <c r="D474" t="s">
        <v>1324</v>
      </c>
      <c r="E474">
        <v>7000</v>
      </c>
      <c r="F474" t="s">
        <v>361</v>
      </c>
    </row>
    <row r="475" spans="1:6" customHeight="1" ht="13.8">
      <c r="A475" t="s">
        <v>1325</v>
      </c>
      <c r="B475" t="s">
        <v>1326</v>
      </c>
      <c r="C475" s="1" t="s">
        <v>1327</v>
      </c>
      <c r="D475" t="s">
        <v>1328</v>
      </c>
      <c r="E475">
        <v>7000</v>
      </c>
      <c r="F475" t="s">
        <v>361</v>
      </c>
    </row>
    <row r="476" spans="1:6" customHeight="1" ht="13.8">
      <c r="A476" t="s">
        <v>1329</v>
      </c>
      <c r="B476" t="s">
        <v>1330</v>
      </c>
      <c r="C476">
        <v>104307328</v>
      </c>
      <c r="D476" t="s">
        <v>1331</v>
      </c>
      <c r="E476">
        <v>7000</v>
      </c>
      <c r="F476" t="s">
        <v>361</v>
      </c>
    </row>
    <row r="477" spans="1:6" customHeight="1" ht="13.8">
      <c r="A477" t="s">
        <v>1332</v>
      </c>
      <c r="B477" t="s">
        <v>1333</v>
      </c>
      <c r="C477">
        <v>120821013</v>
      </c>
      <c r="D477" t="s">
        <v>1334</v>
      </c>
      <c r="E477">
        <v>7000</v>
      </c>
      <c r="F477" t="s">
        <v>361</v>
      </c>
    </row>
    <row r="478" spans="1:6" customHeight="1" ht="13.8">
      <c r="A478" t="s">
        <v>1335</v>
      </c>
      <c r="B478" t="s">
        <v>1336</v>
      </c>
      <c r="C478" s="1" t="s">
        <v>1337</v>
      </c>
      <c r="D478" t="s">
        <v>1338</v>
      </c>
      <c r="E478">
        <v>7000</v>
      </c>
      <c r="F478" t="s">
        <v>361</v>
      </c>
    </row>
    <row r="479" spans="1:6" customHeight="1" ht="13.8">
      <c r="A479" t="s">
        <v>1339</v>
      </c>
      <c r="B479" t="s">
        <v>1340</v>
      </c>
      <c r="C479">
        <v>147906708</v>
      </c>
      <c r="D479" t="s">
        <v>1341</v>
      </c>
      <c r="E479">
        <v>7000</v>
      </c>
      <c r="F479" t="s">
        <v>361</v>
      </c>
    </row>
    <row r="480" spans="1:6" customHeight="1" ht="13.8">
      <c r="A480" t="s">
        <v>1342</v>
      </c>
      <c r="B480" t="s">
        <v>1343</v>
      </c>
      <c r="C480">
        <v>107114198</v>
      </c>
      <c r="D480" t="s">
        <v>1344</v>
      </c>
      <c r="E480">
        <v>7000</v>
      </c>
      <c r="F480" t="s">
        <v>361</v>
      </c>
    </row>
    <row r="481" spans="1:6" customHeight="1" ht="13.8">
      <c r="A481" t="s">
        <v>1345</v>
      </c>
      <c r="B481" t="s">
        <v>1346</v>
      </c>
      <c r="C481" s="1" t="s">
        <v>1347</v>
      </c>
      <c r="D481" t="s">
        <v>1348</v>
      </c>
      <c r="E481">
        <v>7000</v>
      </c>
      <c r="F481" t="s">
        <v>361</v>
      </c>
    </row>
    <row r="482" spans="1:6" customHeight="1" ht="13.8">
      <c r="A482" t="s">
        <v>76</v>
      </c>
      <c r="B482" t="s">
        <v>77</v>
      </c>
      <c r="C482" s="1" t="s">
        <v>78</v>
      </c>
      <c r="D482" t="s">
        <v>79</v>
      </c>
      <c r="E482">
        <v>163500</v>
      </c>
      <c r="F482" t="s">
        <v>1349</v>
      </c>
    </row>
    <row r="483" spans="1:6" customHeight="1" ht="13.8">
      <c r="A483" t="s">
        <v>39</v>
      </c>
      <c r="B483" t="s">
        <v>40</v>
      </c>
      <c r="C483" s="1" t="s">
        <v>41</v>
      </c>
      <c r="D483" t="s">
        <v>42</v>
      </c>
      <c r="E483">
        <v>500</v>
      </c>
      <c r="F483" t="s">
        <v>1350</v>
      </c>
    </row>
    <row r="484" spans="1:6" customHeight="1" ht="13.8">
      <c r="A484" t="s">
        <v>101</v>
      </c>
      <c r="B484" t="s">
        <v>102</v>
      </c>
      <c r="C484">
        <v>105841072</v>
      </c>
      <c r="D484" t="s">
        <v>103</v>
      </c>
      <c r="E484">
        <v>500</v>
      </c>
      <c r="F484" t="s">
        <v>1350</v>
      </c>
    </row>
    <row r="485" spans="1:6" customHeight="1" ht="13.8">
      <c r="A485" t="s">
        <v>109</v>
      </c>
      <c r="B485" t="s">
        <v>110</v>
      </c>
      <c r="C485" s="1" t="s">
        <v>111</v>
      </c>
      <c r="D485" t="s">
        <v>112</v>
      </c>
      <c r="E485">
        <v>500</v>
      </c>
      <c r="F485" t="s">
        <v>1350</v>
      </c>
    </row>
    <row r="486" spans="1:6" customHeight="1" ht="13.8">
      <c r="A486" t="s">
        <v>105</v>
      </c>
      <c r="B486" t="s">
        <v>106</v>
      </c>
      <c r="C486" s="1" t="s">
        <v>107</v>
      </c>
      <c r="D486" t="s">
        <v>108</v>
      </c>
      <c r="E486">
        <v>500</v>
      </c>
      <c r="F486" t="s">
        <v>1350</v>
      </c>
    </row>
    <row r="487" spans="1:6" customHeight="1" ht="13.8">
      <c r="A487" t="s">
        <v>288</v>
      </c>
      <c r="B487" t="s">
        <v>289</v>
      </c>
      <c r="C487">
        <v>102843716</v>
      </c>
      <c r="D487" t="s">
        <v>290</v>
      </c>
      <c r="E487">
        <v>500</v>
      </c>
      <c r="F487" t="s">
        <v>1350</v>
      </c>
    </row>
    <row r="488" spans="1:6" customHeight="1" ht="13.8">
      <c r="A488" t="s">
        <v>23</v>
      </c>
      <c r="B488" t="s">
        <v>24</v>
      </c>
      <c r="C488" s="1" t="s">
        <v>25</v>
      </c>
      <c r="D488" t="s">
        <v>26</v>
      </c>
      <c r="E488">
        <v>500</v>
      </c>
      <c r="F488" t="s">
        <v>1350</v>
      </c>
    </row>
    <row r="489" spans="1:6" customHeight="1" ht="13.8">
      <c r="A489" t="s">
        <v>291</v>
      </c>
      <c r="B489" t="s">
        <v>292</v>
      </c>
      <c r="C489">
        <v>105988441</v>
      </c>
      <c r="D489" t="s">
        <v>293</v>
      </c>
      <c r="E489">
        <v>500</v>
      </c>
      <c r="F489" t="s">
        <v>1350</v>
      </c>
    </row>
    <row r="490" spans="1:6" customHeight="1" ht="13.8">
      <c r="A490" t="s">
        <v>280</v>
      </c>
      <c r="B490" t="s">
        <v>281</v>
      </c>
      <c r="C490" s="1" t="s">
        <v>282</v>
      </c>
      <c r="D490" t="s">
        <v>283</v>
      </c>
      <c r="E490">
        <v>35000</v>
      </c>
      <c r="F490" t="s">
        <v>1351</v>
      </c>
    </row>
    <row r="491" spans="1:6" customHeight="1" ht="13.8">
      <c r="A491" t="s">
        <v>23</v>
      </c>
      <c r="B491" t="s">
        <v>24</v>
      </c>
      <c r="C491" s="1" t="s">
        <v>25</v>
      </c>
      <c r="D491" t="s">
        <v>26</v>
      </c>
      <c r="E491">
        <v>500</v>
      </c>
      <c r="F491" t="s">
        <v>1352</v>
      </c>
    </row>
    <row r="492" spans="1:6" customHeight="1" ht="13.8">
      <c r="A492" t="s">
        <v>32</v>
      </c>
      <c r="B492" t="s">
        <v>33</v>
      </c>
      <c r="D492" t="s">
        <v>34</v>
      </c>
      <c r="E492">
        <v>500</v>
      </c>
      <c r="F492" t="s">
        <v>1352</v>
      </c>
    </row>
    <row r="493" spans="1:6" customHeight="1" ht="13.8">
      <c r="A493" t="s">
        <v>35</v>
      </c>
      <c r="B493" t="s">
        <v>36</v>
      </c>
      <c r="C493" s="1" t="s">
        <v>37</v>
      </c>
      <c r="D493" t="s">
        <v>38</v>
      </c>
      <c r="E493">
        <v>500</v>
      </c>
      <c r="F493" t="s">
        <v>1352</v>
      </c>
    </row>
    <row r="494" spans="1:6" customHeight="1" ht="13.8">
      <c r="A494" t="s">
        <v>39</v>
      </c>
      <c r="B494" t="s">
        <v>40</v>
      </c>
      <c r="C494" s="1" t="s">
        <v>41</v>
      </c>
      <c r="D494" t="s">
        <v>42</v>
      </c>
      <c r="E494">
        <v>500</v>
      </c>
      <c r="F494" t="s">
        <v>1352</v>
      </c>
    </row>
    <row r="495" spans="1:6" customHeight="1" ht="13.8">
      <c r="A495" t="s">
        <v>39</v>
      </c>
      <c r="B495" t="s">
        <v>40</v>
      </c>
      <c r="C495" s="1" t="s">
        <v>41</v>
      </c>
      <c r="D495" t="s">
        <v>42</v>
      </c>
      <c r="E495">
        <v>7500</v>
      </c>
      <c r="F495" t="s">
        <v>1353</v>
      </c>
    </row>
    <row r="496" spans="1:6" customHeight="1" ht="13.8">
      <c r="A496" t="s">
        <v>329</v>
      </c>
      <c r="B496" t="s">
        <v>315</v>
      </c>
      <c r="C496" s="1" t="s">
        <v>316</v>
      </c>
      <c r="D496" t="s">
        <v>330</v>
      </c>
      <c r="E496">
        <v>7000</v>
      </c>
      <c r="F496" t="s">
        <v>1354</v>
      </c>
    </row>
    <row r="497" spans="1:6" customHeight="1" ht="13.8">
      <c r="A497" t="s">
        <v>328</v>
      </c>
      <c r="B497" t="s">
        <v>315</v>
      </c>
      <c r="C497" s="1" t="s">
        <v>316</v>
      </c>
      <c r="D497" t="s">
        <v>327</v>
      </c>
      <c r="E497">
        <v>-7000</v>
      </c>
      <c r="F497" t="s">
        <v>1354</v>
      </c>
    </row>
    <row r="498" spans="1:6" customHeight="1" ht="13.8">
      <c r="A498" t="s">
        <v>326</v>
      </c>
      <c r="B498" t="s">
        <v>315</v>
      </c>
      <c r="C498" s="1" t="s">
        <v>316</v>
      </c>
      <c r="D498" t="s">
        <v>327</v>
      </c>
      <c r="E498">
        <v>7000</v>
      </c>
      <c r="F498" t="s">
        <v>1354</v>
      </c>
    </row>
    <row r="499" spans="1:6" customHeight="1" ht="13.8">
      <c r="A499" t="s">
        <v>324</v>
      </c>
      <c r="B499" t="s">
        <v>315</v>
      </c>
      <c r="C499" s="1" t="s">
        <v>316</v>
      </c>
      <c r="D499" t="s">
        <v>325</v>
      </c>
      <c r="E499">
        <v>-7000</v>
      </c>
      <c r="F499" t="s">
        <v>1354</v>
      </c>
    </row>
    <row r="500" spans="1:6" customHeight="1" ht="13.8">
      <c r="A500" t="s">
        <v>322</v>
      </c>
      <c r="B500" t="s">
        <v>315</v>
      </c>
      <c r="C500" s="1" t="s">
        <v>316</v>
      </c>
      <c r="D500" t="s">
        <v>323</v>
      </c>
      <c r="E500">
        <v>7000</v>
      </c>
      <c r="F500" t="s">
        <v>1354</v>
      </c>
    </row>
    <row r="501" spans="1:6" customHeight="1" ht="13.8">
      <c r="A501" t="s">
        <v>1355</v>
      </c>
      <c r="B501" t="s">
        <v>1356</v>
      </c>
      <c r="C501" s="1" t="s">
        <v>1357</v>
      </c>
      <c r="D501" t="s">
        <v>1358</v>
      </c>
      <c r="E501">
        <v>3000</v>
      </c>
      <c r="F501" t="s">
        <v>1359</v>
      </c>
    </row>
    <row r="502" spans="1:6" customHeight="1" ht="13.8">
      <c r="A502" t="s">
        <v>97</v>
      </c>
      <c r="B502" t="s">
        <v>98</v>
      </c>
      <c r="C502">
        <v>138671170</v>
      </c>
      <c r="D502" t="s">
        <v>99</v>
      </c>
      <c r="E502">
        <v>3000</v>
      </c>
      <c r="F502" t="s">
        <v>1359</v>
      </c>
    </row>
    <row r="503" spans="1:6" customHeight="1" ht="13.8">
      <c r="A503" t="s">
        <v>23</v>
      </c>
      <c r="B503" t="s">
        <v>24</v>
      </c>
      <c r="C503" s="1" t="s">
        <v>25</v>
      </c>
      <c r="D503" t="s">
        <v>26</v>
      </c>
      <c r="E503">
        <v>3000</v>
      </c>
      <c r="F503" t="s">
        <v>1359</v>
      </c>
    </row>
    <row r="504" spans="1:6" customHeight="1" ht="13.8">
      <c r="A504" t="s">
        <v>84</v>
      </c>
      <c r="B504" t="s">
        <v>85</v>
      </c>
      <c r="C504" s="1" t="s">
        <v>86</v>
      </c>
      <c r="D504" t="s">
        <v>87</v>
      </c>
      <c r="E504">
        <v>4000</v>
      </c>
      <c r="F504" t="s">
        <v>1360</v>
      </c>
    </row>
    <row r="505" spans="1:6" customHeight="1" ht="13.8">
      <c r="A505" t="s">
        <v>67</v>
      </c>
      <c r="B505" t="s">
        <v>68</v>
      </c>
      <c r="C505" s="1" t="s">
        <v>69</v>
      </c>
      <c r="D505" t="s">
        <v>70</v>
      </c>
      <c r="E505">
        <v>4000</v>
      </c>
      <c r="F505" t="s">
        <v>1360</v>
      </c>
    </row>
    <row r="506" spans="1:6" customHeight="1" ht="13.8">
      <c r="A506" t="s">
        <v>76</v>
      </c>
      <c r="B506" t="s">
        <v>77</v>
      </c>
      <c r="C506" s="1" t="s">
        <v>78</v>
      </c>
      <c r="D506" t="s">
        <v>79</v>
      </c>
      <c r="E506">
        <v>4000</v>
      </c>
      <c r="F506" t="s">
        <v>1360</v>
      </c>
    </row>
    <row r="507" spans="1:6" customHeight="1" ht="13.8">
      <c r="A507" t="s">
        <v>76</v>
      </c>
      <c r="B507" t="s">
        <v>77</v>
      </c>
      <c r="C507" s="1" t="s">
        <v>78</v>
      </c>
      <c r="D507" t="s">
        <v>79</v>
      </c>
      <c r="E507">
        <v>4000</v>
      </c>
      <c r="F507" t="s">
        <v>1361</v>
      </c>
    </row>
    <row r="508" spans="1:6" customHeight="1" ht="13.8">
      <c r="A508" t="s">
        <v>67</v>
      </c>
      <c r="B508" t="s">
        <v>68</v>
      </c>
      <c r="C508" s="1" t="s">
        <v>69</v>
      </c>
      <c r="D508" t="s">
        <v>70</v>
      </c>
      <c r="E508">
        <v>4000</v>
      </c>
      <c r="F508" t="s">
        <v>1361</v>
      </c>
    </row>
    <row r="509" spans="1:6" customHeight="1" ht="13.8">
      <c r="A509" t="s">
        <v>84</v>
      </c>
      <c r="B509" t="s">
        <v>85</v>
      </c>
      <c r="C509" s="1" t="s">
        <v>86</v>
      </c>
      <c r="D509" t="s">
        <v>87</v>
      </c>
      <c r="E509">
        <v>4000</v>
      </c>
      <c r="F509" t="s">
        <v>1361</v>
      </c>
    </row>
    <row r="510" spans="1:6" customHeight="1" ht="13.8">
      <c r="A510" t="s">
        <v>44</v>
      </c>
      <c r="B510" t="s">
        <v>45</v>
      </c>
      <c r="C510" s="1" t="s">
        <v>46</v>
      </c>
      <c r="D510" t="s">
        <v>47</v>
      </c>
      <c r="E510">
        <v>4000</v>
      </c>
      <c r="F510" t="s">
        <v>1361</v>
      </c>
    </row>
    <row r="511" spans="1:6" customHeight="1" ht="13.8">
      <c r="A511" t="s">
        <v>113</v>
      </c>
      <c r="B511" t="s">
        <v>114</v>
      </c>
      <c r="C511" s="1" t="s">
        <v>115</v>
      </c>
      <c r="D511" t="s">
        <v>116</v>
      </c>
      <c r="E511">
        <v>4000</v>
      </c>
      <c r="F511" t="s">
        <v>1361</v>
      </c>
    </row>
    <row r="512" spans="1:6" customHeight="1" ht="13.8">
      <c r="A512" t="s">
        <v>1362</v>
      </c>
      <c r="B512" t="s">
        <v>1363</v>
      </c>
      <c r="C512" s="1" t="s">
        <v>1364</v>
      </c>
      <c r="D512" t="s">
        <v>1365</v>
      </c>
      <c r="E512">
        <v>4000</v>
      </c>
      <c r="F512" t="s">
        <v>1361</v>
      </c>
    </row>
    <row r="513" spans="1:6" customHeight="1" ht="13.8">
      <c r="A513" t="s">
        <v>1366</v>
      </c>
      <c r="B513" t="s">
        <v>1367</v>
      </c>
      <c r="C513" s="1" t="s">
        <v>1368</v>
      </c>
      <c r="D513" t="s">
        <v>1369</v>
      </c>
      <c r="E513">
        <v>8000</v>
      </c>
      <c r="F513" t="s">
        <v>1370</v>
      </c>
    </row>
    <row r="514" spans="1:6" customHeight="1" ht="13.8">
      <c r="A514" t="s">
        <v>84</v>
      </c>
      <c r="B514" t="s">
        <v>85</v>
      </c>
      <c r="C514" s="1" t="s">
        <v>86</v>
      </c>
      <c r="D514" t="s">
        <v>87</v>
      </c>
      <c r="E514">
        <v>8000</v>
      </c>
      <c r="F514" t="s">
        <v>1370</v>
      </c>
    </row>
    <row r="515" spans="1:6" customHeight="1" ht="13.8">
      <c r="A515" t="s">
        <v>28</v>
      </c>
      <c r="B515" t="s">
        <v>29</v>
      </c>
      <c r="C515" s="1" t="s">
        <v>30</v>
      </c>
      <c r="D515" t="s">
        <v>31</v>
      </c>
      <c r="E515">
        <v>1500</v>
      </c>
      <c r="F515" t="s">
        <v>1371</v>
      </c>
    </row>
    <row r="516" spans="1:6" customHeight="1" ht="13.8">
      <c r="A516" t="s">
        <v>35</v>
      </c>
      <c r="B516" t="s">
        <v>36</v>
      </c>
      <c r="C516" s="1" t="s">
        <v>37</v>
      </c>
      <c r="D516" t="s">
        <v>38</v>
      </c>
      <c r="E516">
        <v>1500</v>
      </c>
      <c r="F516" t="s">
        <v>1371</v>
      </c>
    </row>
    <row r="517" spans="1:6" customHeight="1" ht="13.8">
      <c r="A517" t="s">
        <v>206</v>
      </c>
      <c r="B517" t="s">
        <v>207</v>
      </c>
      <c r="C517" s="1" t="s">
        <v>208</v>
      </c>
      <c r="D517" t="s">
        <v>209</v>
      </c>
      <c r="E517">
        <v>1500</v>
      </c>
      <c r="F517" t="s">
        <v>1371</v>
      </c>
    </row>
    <row r="518" spans="1:6" customHeight="1" ht="13.8">
      <c r="A518" t="s">
        <v>194</v>
      </c>
      <c r="B518" t="s">
        <v>195</v>
      </c>
      <c r="C518">
        <v>121397629</v>
      </c>
      <c r="D518" t="s">
        <v>196</v>
      </c>
      <c r="E518">
        <v>1500</v>
      </c>
      <c r="F518" t="s">
        <v>1371</v>
      </c>
    </row>
    <row r="519" spans="1:6" customHeight="1" ht="13.8">
      <c r="A519" t="s">
        <v>197</v>
      </c>
      <c r="B519" t="s">
        <v>198</v>
      </c>
      <c r="C519" s="1" t="s">
        <v>199</v>
      </c>
      <c r="D519" t="s">
        <v>200</v>
      </c>
      <c r="E519">
        <v>1500</v>
      </c>
      <c r="F519" t="s">
        <v>1371</v>
      </c>
    </row>
    <row r="520" spans="1:6" customHeight="1" ht="13.8">
      <c r="A520" t="s">
        <v>202</v>
      </c>
      <c r="B520" t="s">
        <v>203</v>
      </c>
      <c r="C520" s="1" t="s">
        <v>204</v>
      </c>
      <c r="D520" t="s">
        <v>205</v>
      </c>
      <c r="E520">
        <v>1500</v>
      </c>
      <c r="F520" t="s">
        <v>1371</v>
      </c>
    </row>
    <row r="521" spans="1:6" customHeight="1" ht="13.8">
      <c r="A521" t="s">
        <v>171</v>
      </c>
      <c r="B521" t="s">
        <v>172</v>
      </c>
      <c r="C521" s="1" t="s">
        <v>173</v>
      </c>
      <c r="D521" t="s">
        <v>174</v>
      </c>
      <c r="E521">
        <v>1500</v>
      </c>
      <c r="F521" t="s">
        <v>1371</v>
      </c>
    </row>
    <row r="522" spans="1:6" customHeight="1" ht="13.8">
      <c r="A522" t="s">
        <v>101</v>
      </c>
      <c r="B522" t="s">
        <v>102</v>
      </c>
      <c r="C522">
        <v>105841072</v>
      </c>
      <c r="D522" t="s">
        <v>103</v>
      </c>
      <c r="E522">
        <v>500</v>
      </c>
      <c r="F522" t="s">
        <v>1372</v>
      </c>
    </row>
    <row r="523" spans="1:6" customHeight="1" ht="13.8">
      <c r="A523" t="s">
        <v>97</v>
      </c>
      <c r="B523" t="s">
        <v>98</v>
      </c>
      <c r="C523">
        <v>138671170</v>
      </c>
      <c r="D523" t="s">
        <v>99</v>
      </c>
      <c r="E523">
        <v>500</v>
      </c>
      <c r="F523" t="s">
        <v>1372</v>
      </c>
    </row>
    <row r="524" spans="1:6" customHeight="1" ht="13.8">
      <c r="A524" t="s">
        <v>288</v>
      </c>
      <c r="B524" t="s">
        <v>289</v>
      </c>
      <c r="C524">
        <v>102843716</v>
      </c>
      <c r="D524" t="s">
        <v>290</v>
      </c>
      <c r="E524">
        <v>500</v>
      </c>
      <c r="F524" t="s">
        <v>1372</v>
      </c>
    </row>
    <row r="525" spans="1:6" customHeight="1" ht="13.8">
      <c r="A525" t="s">
        <v>230</v>
      </c>
      <c r="B525" t="s">
        <v>231</v>
      </c>
      <c r="C525" s="1" t="s">
        <v>232</v>
      </c>
      <c r="D525" t="s">
        <v>233</v>
      </c>
      <c r="E525">
        <v>3500</v>
      </c>
      <c r="F525" t="s">
        <v>1373</v>
      </c>
    </row>
    <row r="526" spans="1:6" customHeight="1" ht="13.8">
      <c r="A526" t="s">
        <v>44</v>
      </c>
      <c r="B526" t="s">
        <v>45</v>
      </c>
      <c r="C526" s="1" t="s">
        <v>46</v>
      </c>
      <c r="D526" t="s">
        <v>47</v>
      </c>
      <c r="E526">
        <v>3500</v>
      </c>
      <c r="F526" t="s">
        <v>1373</v>
      </c>
    </row>
    <row r="527" spans="1:6" customHeight="1" ht="13.8">
      <c r="A527" t="s">
        <v>49</v>
      </c>
      <c r="B527" t="s">
        <v>50</v>
      </c>
      <c r="C527" s="1" t="s">
        <v>51</v>
      </c>
      <c r="D527" t="s">
        <v>52</v>
      </c>
      <c r="E527">
        <v>3500</v>
      </c>
      <c r="F527" t="s">
        <v>1373</v>
      </c>
    </row>
    <row r="528" spans="1:6" customHeight="1" ht="13.8">
      <c r="A528" t="s">
        <v>1374</v>
      </c>
      <c r="B528" t="s">
        <v>1375</v>
      </c>
      <c r="C528">
        <v>114920874</v>
      </c>
      <c r="D528" t="s">
        <v>1376</v>
      </c>
      <c r="E528">
        <v>3500</v>
      </c>
      <c r="F528" t="s">
        <v>1373</v>
      </c>
    </row>
    <row r="529" spans="1:6" customHeight="1" ht="13.8">
      <c r="A529" t="s">
        <v>155</v>
      </c>
      <c r="B529" t="s">
        <v>156</v>
      </c>
      <c r="C529" s="1" t="s">
        <v>157</v>
      </c>
      <c r="D529" t="s">
        <v>158</v>
      </c>
      <c r="E529">
        <v>3500</v>
      </c>
      <c r="F529" t="s">
        <v>1373</v>
      </c>
    </row>
    <row r="530" spans="1:6" customHeight="1" ht="13.8">
      <c r="A530" t="s">
        <v>341</v>
      </c>
      <c r="B530" t="s">
        <v>342</v>
      </c>
      <c r="C530" s="1" t="s">
        <v>343</v>
      </c>
      <c r="D530" t="s">
        <v>344</v>
      </c>
      <c r="E530">
        <v>3500</v>
      </c>
      <c r="F530" t="s">
        <v>1373</v>
      </c>
    </row>
    <row r="531" spans="1:6" customHeight="1" ht="13.8">
      <c r="A531" t="s">
        <v>1377</v>
      </c>
      <c r="B531" t="s">
        <v>1378</v>
      </c>
      <c r="C531" s="1" t="s">
        <v>1379</v>
      </c>
      <c r="D531" t="s">
        <v>1380</v>
      </c>
      <c r="E531">
        <v>3500</v>
      </c>
      <c r="F531" t="s">
        <v>1373</v>
      </c>
    </row>
    <row r="532" spans="1:6" customHeight="1" ht="13.8">
      <c r="A532" t="s">
        <v>143</v>
      </c>
      <c r="B532" t="s">
        <v>144</v>
      </c>
      <c r="C532" s="1" t="s">
        <v>145</v>
      </c>
      <c r="D532" t="s">
        <v>146</v>
      </c>
      <c r="E532">
        <v>3500</v>
      </c>
      <c r="F532" t="s">
        <v>1373</v>
      </c>
    </row>
    <row r="533" spans="1:6" customHeight="1" ht="13.8">
      <c r="A533" t="s">
        <v>67</v>
      </c>
      <c r="B533" t="s">
        <v>68</v>
      </c>
      <c r="C533" s="1" t="s">
        <v>69</v>
      </c>
      <c r="D533" t="s">
        <v>70</v>
      </c>
      <c r="E533">
        <v>3500</v>
      </c>
      <c r="F533" t="s">
        <v>1373</v>
      </c>
    </row>
    <row r="534" spans="1:6" customHeight="1" ht="13.8">
      <c r="A534" t="s">
        <v>1381</v>
      </c>
      <c r="B534" t="s">
        <v>1382</v>
      </c>
      <c r="C534">
        <v>119463839</v>
      </c>
      <c r="D534" t="s">
        <v>1383</v>
      </c>
      <c r="E534">
        <v>3500</v>
      </c>
      <c r="F534" t="s">
        <v>1373</v>
      </c>
    </row>
    <row r="535" spans="1:6" customHeight="1" ht="13.8">
      <c r="A535" t="s">
        <v>135</v>
      </c>
      <c r="B535" t="s">
        <v>136</v>
      </c>
      <c r="C535" s="1" t="s">
        <v>137</v>
      </c>
      <c r="D535" t="s">
        <v>138</v>
      </c>
      <c r="E535">
        <v>3500</v>
      </c>
      <c r="F535" t="s">
        <v>1373</v>
      </c>
    </row>
    <row r="536" spans="1:6" customHeight="1" ht="13.8">
      <c r="A536" t="s">
        <v>1384</v>
      </c>
      <c r="B536" t="s">
        <v>1385</v>
      </c>
      <c r="C536" s="1" t="s">
        <v>1386</v>
      </c>
      <c r="D536" t="s">
        <v>1387</v>
      </c>
      <c r="E536">
        <v>3500</v>
      </c>
      <c r="F536" t="s">
        <v>1373</v>
      </c>
    </row>
    <row r="537" spans="1:6" customHeight="1" ht="13.8">
      <c r="A537" t="s">
        <v>39</v>
      </c>
      <c r="B537" t="s">
        <v>40</v>
      </c>
      <c r="C537" s="1" t="s">
        <v>41</v>
      </c>
      <c r="D537" t="s">
        <v>42</v>
      </c>
      <c r="E537">
        <v>3500</v>
      </c>
      <c r="F537" t="s">
        <v>1373</v>
      </c>
    </row>
    <row r="538" spans="1:6" customHeight="1" ht="13.8">
      <c r="A538" t="s">
        <v>1388</v>
      </c>
      <c r="B538" t="s">
        <v>1389</v>
      </c>
      <c r="C538" s="1" t="s">
        <v>1390</v>
      </c>
      <c r="D538" t="s">
        <v>1391</v>
      </c>
      <c r="E538">
        <v>3500</v>
      </c>
      <c r="F538" t="s">
        <v>1373</v>
      </c>
    </row>
    <row r="539" spans="1:6" customHeight="1" ht="13.8">
      <c r="A539" t="s">
        <v>1392</v>
      </c>
      <c r="B539" t="s">
        <v>1393</v>
      </c>
      <c r="C539">
        <v>118469883</v>
      </c>
      <c r="D539" t="s">
        <v>1394</v>
      </c>
      <c r="E539">
        <v>3500</v>
      </c>
      <c r="F539" t="s">
        <v>1373</v>
      </c>
    </row>
    <row r="540" spans="1:6" customHeight="1" ht="13.8">
      <c r="A540" t="s">
        <v>97</v>
      </c>
      <c r="B540" t="s">
        <v>98</v>
      </c>
      <c r="C540">
        <v>138671170</v>
      </c>
      <c r="D540" t="s">
        <v>99</v>
      </c>
      <c r="E540">
        <v>3500</v>
      </c>
      <c r="F540" t="s">
        <v>1373</v>
      </c>
    </row>
    <row r="541" spans="1:6" customHeight="1" ht="13.8">
      <c r="A541" t="s">
        <v>171</v>
      </c>
      <c r="B541" t="s">
        <v>172</v>
      </c>
      <c r="C541" s="1" t="s">
        <v>173</v>
      </c>
      <c r="D541" t="s">
        <v>174</v>
      </c>
      <c r="E541">
        <v>3500</v>
      </c>
      <c r="F541" t="s">
        <v>1373</v>
      </c>
    </row>
    <row r="542" spans="1:6" customHeight="1" ht="13.8">
      <c r="A542" t="s">
        <v>1395</v>
      </c>
      <c r="B542" t="s">
        <v>1396</v>
      </c>
      <c r="C542" s="1" t="s">
        <v>1397</v>
      </c>
      <c r="D542" t="s">
        <v>1398</v>
      </c>
      <c r="E542">
        <v>-3500</v>
      </c>
      <c r="F542" t="s">
        <v>1373</v>
      </c>
    </row>
    <row r="543" spans="1:6" customHeight="1" ht="13.8">
      <c r="A543" t="s">
        <v>1399</v>
      </c>
      <c r="B543" t="s">
        <v>1400</v>
      </c>
      <c r="C543" s="1" t="s">
        <v>1401</v>
      </c>
      <c r="D543" t="s">
        <v>1402</v>
      </c>
      <c r="E543">
        <v>3500</v>
      </c>
      <c r="F543" t="s">
        <v>1373</v>
      </c>
    </row>
    <row r="544" spans="1:6" customHeight="1" ht="13.8">
      <c r="A544" t="s">
        <v>167</v>
      </c>
      <c r="B544" t="s">
        <v>168</v>
      </c>
      <c r="C544" s="1" t="s">
        <v>169</v>
      </c>
      <c r="D544" t="s">
        <v>170</v>
      </c>
      <c r="E544">
        <v>3500</v>
      </c>
      <c r="F544" t="s">
        <v>1373</v>
      </c>
    </row>
    <row r="545" spans="1:6" customHeight="1" ht="13.8">
      <c r="A545" t="s">
        <v>1403</v>
      </c>
      <c r="B545" t="s">
        <v>1396</v>
      </c>
      <c r="C545" s="1" t="s">
        <v>1397</v>
      </c>
      <c r="D545" t="s">
        <v>170</v>
      </c>
      <c r="E545">
        <v>3500</v>
      </c>
      <c r="F545" t="s">
        <v>1373</v>
      </c>
    </row>
    <row r="546" spans="1:6" customHeight="1" ht="13.8">
      <c r="A546" t="s">
        <v>1404</v>
      </c>
      <c r="B546" t="s">
        <v>1396</v>
      </c>
      <c r="C546" s="1" t="s">
        <v>1397</v>
      </c>
      <c r="D546" t="s">
        <v>1405</v>
      </c>
      <c r="E546">
        <v>3500</v>
      </c>
      <c r="F546" t="s">
        <v>1373</v>
      </c>
    </row>
    <row r="547" spans="1:6" customHeight="1" ht="13.8">
      <c r="A547" t="s">
        <v>1406</v>
      </c>
      <c r="B547" t="s">
        <v>1407</v>
      </c>
      <c r="C547" s="1" t="s">
        <v>1408</v>
      </c>
      <c r="D547" t="s">
        <v>1409</v>
      </c>
      <c r="E547">
        <v>3500</v>
      </c>
      <c r="F547" t="s">
        <v>1373</v>
      </c>
    </row>
    <row r="548" spans="1:6" customHeight="1" ht="13.8">
      <c r="A548" t="s">
        <v>1362</v>
      </c>
      <c r="B548" t="s">
        <v>1363</v>
      </c>
      <c r="C548" s="1" t="s">
        <v>1364</v>
      </c>
      <c r="D548" t="s">
        <v>1365</v>
      </c>
      <c r="E548">
        <v>3500</v>
      </c>
      <c r="F548" t="s">
        <v>1373</v>
      </c>
    </row>
    <row r="549" spans="1:6" customHeight="1" ht="13.8">
      <c r="A549" t="s">
        <v>113</v>
      </c>
      <c r="B549" t="s">
        <v>114</v>
      </c>
      <c r="C549" s="1" t="s">
        <v>115</v>
      </c>
      <c r="D549" t="s">
        <v>116</v>
      </c>
      <c r="E549">
        <v>3500</v>
      </c>
      <c r="F549" t="s">
        <v>1373</v>
      </c>
    </row>
    <row r="550" spans="1:6" customHeight="1" ht="13.8">
      <c r="A550" t="s">
        <v>1410</v>
      </c>
      <c r="B550" t="s">
        <v>1411</v>
      </c>
      <c r="C550" s="1" t="s">
        <v>1412</v>
      </c>
      <c r="D550" t="s">
        <v>1413</v>
      </c>
      <c r="E550">
        <v>3500</v>
      </c>
      <c r="F550" t="s">
        <v>1373</v>
      </c>
    </row>
    <row r="551" spans="1:6" customHeight="1" ht="13.8">
      <c r="A551" t="s">
        <v>1414</v>
      </c>
      <c r="B551" t="s">
        <v>1415</v>
      </c>
      <c r="C551" s="1" t="s">
        <v>1416</v>
      </c>
      <c r="D551" t="s">
        <v>1417</v>
      </c>
      <c r="E551">
        <v>5000</v>
      </c>
      <c r="F551" t="s">
        <v>1418</v>
      </c>
    </row>
    <row r="552" spans="1:6" customHeight="1" ht="13.8">
      <c r="A552" t="s">
        <v>288</v>
      </c>
      <c r="B552" t="s">
        <v>289</v>
      </c>
      <c r="C552">
        <v>102843716</v>
      </c>
      <c r="D552" t="s">
        <v>290</v>
      </c>
      <c r="E552">
        <v>500</v>
      </c>
      <c r="F552" t="s">
        <v>1419</v>
      </c>
    </row>
    <row r="553" spans="1:6" customHeight="1" ht="13.8">
      <c r="A553" t="s">
        <v>291</v>
      </c>
      <c r="B553" t="s">
        <v>292</v>
      </c>
      <c r="C553">
        <v>105988441</v>
      </c>
      <c r="D553" t="s">
        <v>293</v>
      </c>
      <c r="E553">
        <v>500</v>
      </c>
      <c r="F553" t="s">
        <v>1419</v>
      </c>
    </row>
    <row r="554" spans="1:6" customHeight="1" ht="13.8">
      <c r="A554" t="s">
        <v>206</v>
      </c>
      <c r="B554" t="s">
        <v>207</v>
      </c>
      <c r="C554" s="1" t="s">
        <v>208</v>
      </c>
      <c r="D554" t="s">
        <v>209</v>
      </c>
      <c r="E554">
        <v>500</v>
      </c>
      <c r="F554" t="s">
        <v>1419</v>
      </c>
    </row>
    <row r="555" spans="1:6" customHeight="1" ht="13.8">
      <c r="A555" t="s">
        <v>32</v>
      </c>
      <c r="B555" t="s">
        <v>33</v>
      </c>
      <c r="D555" t="s">
        <v>34</v>
      </c>
      <c r="E555">
        <v>500</v>
      </c>
      <c r="F555" t="s">
        <v>1419</v>
      </c>
    </row>
    <row r="556" spans="1:6" customHeight="1" ht="13.8">
      <c r="A556" t="s">
        <v>97</v>
      </c>
      <c r="B556" t="s">
        <v>98</v>
      </c>
      <c r="C556">
        <v>138671170</v>
      </c>
      <c r="D556" t="s">
        <v>99</v>
      </c>
      <c r="E556">
        <v>500</v>
      </c>
      <c r="F556" t="s">
        <v>1419</v>
      </c>
    </row>
    <row r="557" spans="1:6" customHeight="1" ht="13.8">
      <c r="A557" t="s">
        <v>113</v>
      </c>
      <c r="B557" t="s">
        <v>114</v>
      </c>
      <c r="C557" s="1" t="s">
        <v>115</v>
      </c>
      <c r="D557" t="s">
        <v>116</v>
      </c>
      <c r="E557">
        <v>500</v>
      </c>
      <c r="F557" t="s">
        <v>1419</v>
      </c>
    </row>
    <row r="558" spans="1:6" customHeight="1" ht="13.8">
      <c r="A558" t="s">
        <v>1420</v>
      </c>
      <c r="B558" t="s">
        <v>1421</v>
      </c>
      <c r="C558">
        <v>107523532</v>
      </c>
      <c r="D558" t="s">
        <v>1422</v>
      </c>
      <c r="E558">
        <v>500</v>
      </c>
      <c r="F558" t="s">
        <v>1419</v>
      </c>
    </row>
    <row r="559" spans="1:6" customHeight="1" ht="13.8">
      <c r="A559" t="s">
        <v>353</v>
      </c>
      <c r="B559" t="s">
        <v>354</v>
      </c>
      <c r="C559" s="1" t="s">
        <v>355</v>
      </c>
      <c r="D559" t="s">
        <v>356</v>
      </c>
      <c r="E559">
        <v>500</v>
      </c>
      <c r="F559" t="s">
        <v>1419</v>
      </c>
    </row>
    <row r="560" spans="1:6" customHeight="1" ht="13.8">
      <c r="A560" t="s">
        <v>194</v>
      </c>
      <c r="B560" t="s">
        <v>195</v>
      </c>
      <c r="C560">
        <v>121397629</v>
      </c>
      <c r="D560" t="s">
        <v>196</v>
      </c>
      <c r="E560">
        <v>500</v>
      </c>
      <c r="F560" t="s">
        <v>1419</v>
      </c>
    </row>
    <row r="561" spans="1:6" customHeight="1" ht="13.8">
      <c r="A561" t="s">
        <v>109</v>
      </c>
      <c r="B561" t="s">
        <v>110</v>
      </c>
      <c r="C561" s="1" t="s">
        <v>111</v>
      </c>
      <c r="D561" t="s">
        <v>112</v>
      </c>
      <c r="E561">
        <v>500</v>
      </c>
      <c r="F561" t="s">
        <v>1423</v>
      </c>
    </row>
    <row r="562" spans="1:6" customHeight="1" ht="13.8">
      <c r="A562" t="s">
        <v>113</v>
      </c>
      <c r="B562" t="s">
        <v>114</v>
      </c>
      <c r="C562" s="1" t="s">
        <v>115</v>
      </c>
      <c r="D562" t="s">
        <v>116</v>
      </c>
      <c r="E562">
        <v>500</v>
      </c>
      <c r="F562" t="s">
        <v>1423</v>
      </c>
    </row>
    <row r="563" spans="1:6" customHeight="1" ht="13.8">
      <c r="A563" t="s">
        <v>97</v>
      </c>
      <c r="B563" t="s">
        <v>98</v>
      </c>
      <c r="C563">
        <v>138671170</v>
      </c>
      <c r="D563" t="s">
        <v>99</v>
      </c>
      <c r="E563">
        <v>500</v>
      </c>
      <c r="F563" t="s">
        <v>1423</v>
      </c>
    </row>
    <row r="564" spans="1:6" customHeight="1" ht="13.8">
      <c r="A564" t="s">
        <v>101</v>
      </c>
      <c r="B564" t="s">
        <v>102</v>
      </c>
      <c r="C564">
        <v>105841072</v>
      </c>
      <c r="D564" t="s">
        <v>103</v>
      </c>
      <c r="E564">
        <v>500</v>
      </c>
      <c r="F564" t="s">
        <v>1423</v>
      </c>
    </row>
    <row r="565" spans="1:6" customHeight="1" ht="13.8">
      <c r="A565" t="s">
        <v>288</v>
      </c>
      <c r="B565" t="s">
        <v>289</v>
      </c>
      <c r="C565">
        <v>102843716</v>
      </c>
      <c r="D565" t="s">
        <v>290</v>
      </c>
      <c r="E565">
        <v>500</v>
      </c>
      <c r="F565" t="s">
        <v>1423</v>
      </c>
    </row>
    <row r="566" spans="1:6" customHeight="1" ht="13.8">
      <c r="A566" t="s">
        <v>1424</v>
      </c>
      <c r="B566" t="s">
        <v>1425</v>
      </c>
      <c r="C566" s="1" t="s">
        <v>1426</v>
      </c>
      <c r="D566" t="s">
        <v>1427</v>
      </c>
      <c r="E566">
        <v>12000</v>
      </c>
      <c r="F566" t="s">
        <v>1428</v>
      </c>
    </row>
    <row r="567" spans="1:6" customHeight="1" ht="13.8">
      <c r="A567" t="s">
        <v>1429</v>
      </c>
      <c r="B567" t="s">
        <v>1430</v>
      </c>
      <c r="C567" s="1" t="s">
        <v>1431</v>
      </c>
      <c r="D567" t="s">
        <v>364</v>
      </c>
      <c r="E567">
        <v>1500</v>
      </c>
      <c r="F567" t="s">
        <v>1432</v>
      </c>
    </row>
    <row r="568" spans="1:6" customHeight="1" ht="13.8">
      <c r="A568" t="s">
        <v>1433</v>
      </c>
      <c r="B568" t="s">
        <v>1434</v>
      </c>
      <c r="C568" s="1" t="s">
        <v>1435</v>
      </c>
      <c r="D568" t="s">
        <v>1436</v>
      </c>
      <c r="E568">
        <v>1500</v>
      </c>
      <c r="F568" t="s">
        <v>1432</v>
      </c>
    </row>
    <row r="569" spans="1:6" customHeight="1" ht="13.8">
      <c r="A569" t="s">
        <v>39</v>
      </c>
      <c r="B569" t="s">
        <v>40</v>
      </c>
      <c r="C569" s="1" t="s">
        <v>41</v>
      </c>
      <c r="D569" t="s">
        <v>42</v>
      </c>
      <c r="E569">
        <v>500</v>
      </c>
      <c r="F569" t="s">
        <v>1437</v>
      </c>
    </row>
    <row r="570" spans="1:6" customHeight="1" ht="13.8">
      <c r="A570" t="s">
        <v>28</v>
      </c>
      <c r="B570" t="s">
        <v>29</v>
      </c>
      <c r="C570" s="1" t="s">
        <v>30</v>
      </c>
      <c r="D570" t="s">
        <v>31</v>
      </c>
      <c r="E570">
        <v>7000</v>
      </c>
      <c r="F570" t="s">
        <v>1438</v>
      </c>
    </row>
    <row r="571" spans="1:6" customHeight="1" ht="13.8">
      <c r="A571" t="s">
        <v>28</v>
      </c>
      <c r="B571" t="s">
        <v>29</v>
      </c>
      <c r="C571" s="1" t="s">
        <v>30</v>
      </c>
      <c r="D571" t="s">
        <v>31</v>
      </c>
      <c r="E571">
        <v>6500</v>
      </c>
      <c r="F571" t="s">
        <v>1439</v>
      </c>
    </row>
    <row r="572" spans="1:6" customHeight="1" ht="13.8">
      <c r="A572" t="s">
        <v>92</v>
      </c>
      <c r="B572" t="s">
        <v>93</v>
      </c>
      <c r="C572" s="1" t="s">
        <v>94</v>
      </c>
      <c r="D572" t="s">
        <v>95</v>
      </c>
      <c r="E572">
        <v>6500</v>
      </c>
      <c r="F572" t="s">
        <v>1439</v>
      </c>
    </row>
    <row r="573" spans="1:6" customHeight="1" ht="13.8">
      <c r="A573" t="s">
        <v>341</v>
      </c>
      <c r="B573" t="s">
        <v>342</v>
      </c>
      <c r="C573" s="1" t="s">
        <v>343</v>
      </c>
      <c r="D573" t="s">
        <v>344</v>
      </c>
      <c r="E573">
        <v>6500</v>
      </c>
      <c r="F573" t="s">
        <v>1439</v>
      </c>
    </row>
    <row r="574" spans="1:6" customHeight="1" ht="13.8">
      <c r="A574" t="s">
        <v>1440</v>
      </c>
      <c r="B574" t="s">
        <v>1441</v>
      </c>
      <c r="C574" s="1" t="s">
        <v>1442</v>
      </c>
      <c r="D574" t="s">
        <v>1443</v>
      </c>
      <c r="E574">
        <v>5000</v>
      </c>
      <c r="F574" t="s">
        <v>1444</v>
      </c>
    </row>
    <row r="575" spans="1:6" customHeight="1" ht="13.8">
      <c r="A575" t="s">
        <v>202</v>
      </c>
      <c r="B575" t="s">
        <v>203</v>
      </c>
      <c r="C575" s="1" t="s">
        <v>204</v>
      </c>
      <c r="D575" t="s">
        <v>205</v>
      </c>
      <c r="E575">
        <v>5000</v>
      </c>
      <c r="F575" t="s">
        <v>1444</v>
      </c>
    </row>
    <row r="576" spans="1:6" customHeight="1" ht="13.8">
      <c r="A576" t="s">
        <v>1445</v>
      </c>
      <c r="B576" t="s">
        <v>1446</v>
      </c>
      <c r="C576" s="1" t="s">
        <v>1447</v>
      </c>
      <c r="D576" t="s">
        <v>1287</v>
      </c>
      <c r="E576">
        <v>5000</v>
      </c>
      <c r="F576" t="s">
        <v>1444</v>
      </c>
    </row>
    <row r="577" spans="1:6" customHeight="1" ht="13.8">
      <c r="A577" t="s">
        <v>1448</v>
      </c>
      <c r="B577" t="s">
        <v>1449</v>
      </c>
      <c r="C577" s="1" t="s">
        <v>1450</v>
      </c>
      <c r="D577" t="s">
        <v>1451</v>
      </c>
      <c r="E577">
        <v>5000</v>
      </c>
      <c r="F577" t="s">
        <v>1444</v>
      </c>
    </row>
    <row r="578" spans="1:6" customHeight="1" ht="13.8">
      <c r="A578" t="s">
        <v>314</v>
      </c>
      <c r="B578" t="s">
        <v>315</v>
      </c>
      <c r="C578" s="1" t="s">
        <v>316</v>
      </c>
      <c r="D578" t="s">
        <v>317</v>
      </c>
      <c r="E578">
        <v>7000</v>
      </c>
      <c r="F578" t="s">
        <v>1452</v>
      </c>
    </row>
    <row r="579" spans="1:6" customHeight="1" ht="13.8">
      <c r="A579" t="s">
        <v>1453</v>
      </c>
      <c r="B579" t="s">
        <v>1454</v>
      </c>
      <c r="C579">
        <v>115269529</v>
      </c>
      <c r="D579" t="s">
        <v>1455</v>
      </c>
      <c r="E579">
        <v>2000</v>
      </c>
      <c r="F579" t="s">
        <v>1456</v>
      </c>
    </row>
    <row r="580" spans="1:6" customHeight="1" ht="13.8">
      <c r="A580" t="s">
        <v>1457</v>
      </c>
      <c r="B580" t="s">
        <v>1458</v>
      </c>
      <c r="C580">
        <v>107126827</v>
      </c>
      <c r="D580" t="s">
        <v>1459</v>
      </c>
      <c r="E580">
        <v>2000</v>
      </c>
      <c r="F580" t="s">
        <v>1456</v>
      </c>
    </row>
    <row r="581" spans="1:6" customHeight="1" ht="13.8">
      <c r="A581" t="s">
        <v>1460</v>
      </c>
      <c r="B581" t="s">
        <v>1461</v>
      </c>
      <c r="C581">
        <v>126152678</v>
      </c>
      <c r="D581" t="s">
        <v>1462</v>
      </c>
      <c r="E581">
        <v>2000</v>
      </c>
      <c r="F581" t="s">
        <v>1456</v>
      </c>
    </row>
    <row r="582" spans="1:6" customHeight="1" ht="13.8">
      <c r="A582" t="s">
        <v>341</v>
      </c>
      <c r="B582" t="s">
        <v>342</v>
      </c>
      <c r="C582" s="1" t="s">
        <v>343</v>
      </c>
      <c r="D582" t="s">
        <v>344</v>
      </c>
      <c r="E582">
        <v>13000</v>
      </c>
      <c r="F582" t="s">
        <v>1463</v>
      </c>
    </row>
    <row r="583" spans="1:6" customHeight="1" ht="13.8">
      <c r="A583" t="s">
        <v>1464</v>
      </c>
      <c r="B583" t="s">
        <v>1465</v>
      </c>
      <c r="C583" s="1" t="s">
        <v>1466</v>
      </c>
      <c r="D583" t="s">
        <v>1467</v>
      </c>
      <c r="E583">
        <v>26500</v>
      </c>
      <c r="F583" t="s">
        <v>1468</v>
      </c>
    </row>
    <row r="584" spans="1:6" customHeight="1" ht="13.8">
      <c r="A584" t="s">
        <v>226</v>
      </c>
      <c r="B584" t="s">
        <v>227</v>
      </c>
      <c r="C584" s="1" t="s">
        <v>228</v>
      </c>
      <c r="D584" t="s">
        <v>229</v>
      </c>
      <c r="E584">
        <v>26500</v>
      </c>
      <c r="F584" t="s">
        <v>1468</v>
      </c>
    </row>
    <row r="585" spans="1:6" customHeight="1" ht="13.8">
      <c r="A585" t="s">
        <v>1469</v>
      </c>
      <c r="B585" t="s">
        <v>1470</v>
      </c>
      <c r="C585" s="1" t="s">
        <v>1471</v>
      </c>
      <c r="D585" t="s">
        <v>1472</v>
      </c>
      <c r="E585">
        <v>26500</v>
      </c>
      <c r="F585" t="s">
        <v>1473</v>
      </c>
    </row>
    <row r="586" spans="1:6" customHeight="1" ht="13.8">
      <c r="A586" t="s">
        <v>1474</v>
      </c>
      <c r="B586" t="s">
        <v>1475</v>
      </c>
      <c r="C586" s="1" t="s">
        <v>1476</v>
      </c>
      <c r="D586" t="s">
        <v>1477</v>
      </c>
      <c r="E586">
        <v>26500</v>
      </c>
      <c r="F586" t="s">
        <v>1478</v>
      </c>
    </row>
    <row r="587" spans="1:6" customHeight="1" ht="13.8">
      <c r="A587" t="s">
        <v>1479</v>
      </c>
      <c r="B587" t="s">
        <v>1480</v>
      </c>
      <c r="C587" s="1" t="s">
        <v>1481</v>
      </c>
      <c r="D587" t="s">
        <v>1482</v>
      </c>
      <c r="E587">
        <v>26500</v>
      </c>
      <c r="F587" t="s">
        <v>1478</v>
      </c>
    </row>
    <row r="588" spans="1:6" customHeight="1" ht="13.8">
      <c r="A588" t="s">
        <v>1429</v>
      </c>
      <c r="B588" t="s">
        <v>1430</v>
      </c>
      <c r="C588" s="1" t="s">
        <v>1431</v>
      </c>
      <c r="D588" t="s">
        <v>364</v>
      </c>
      <c r="E588">
        <v>26500</v>
      </c>
      <c r="F588" t="s">
        <v>1478</v>
      </c>
    </row>
    <row r="589" spans="1:6" customHeight="1" ht="13.8">
      <c r="A589" t="s">
        <v>1483</v>
      </c>
      <c r="B589" t="s">
        <v>1484</v>
      </c>
      <c r="C589">
        <v>128926813</v>
      </c>
      <c r="D589" t="s">
        <v>1485</v>
      </c>
      <c r="E589">
        <v>26500</v>
      </c>
      <c r="F589" t="s">
        <v>1478</v>
      </c>
    </row>
    <row r="590" spans="1:6" customHeight="1" ht="13.8">
      <c r="A590" t="s">
        <v>1486</v>
      </c>
      <c r="B590" t="s">
        <v>1487</v>
      </c>
      <c r="C590" s="1" t="s">
        <v>1488</v>
      </c>
      <c r="D590" t="s">
        <v>1489</v>
      </c>
      <c r="E590">
        <v>26500</v>
      </c>
      <c r="F590" t="s">
        <v>1478</v>
      </c>
    </row>
    <row r="591" spans="1:6" customHeight="1" ht="13.8">
      <c r="A591" t="s">
        <v>1490</v>
      </c>
      <c r="B591" t="s">
        <v>1491</v>
      </c>
      <c r="C591" s="1" t="s">
        <v>1492</v>
      </c>
      <c r="D591" t="s">
        <v>1493</v>
      </c>
      <c r="E591">
        <v>26500</v>
      </c>
      <c r="F591" t="s">
        <v>1478</v>
      </c>
    </row>
    <row r="592" spans="1:6" customHeight="1" ht="13.8">
      <c r="A592" t="s">
        <v>1494</v>
      </c>
      <c r="B592" t="s">
        <v>1495</v>
      </c>
      <c r="C592" s="1" t="s">
        <v>1496</v>
      </c>
      <c r="D592" t="s">
        <v>1497</v>
      </c>
      <c r="E592">
        <v>26500</v>
      </c>
      <c r="F592" t="s">
        <v>1478</v>
      </c>
    </row>
    <row r="593" spans="1:6" customHeight="1" ht="13.8">
      <c r="A593" t="s">
        <v>1498</v>
      </c>
      <c r="B593" t="s">
        <v>1499</v>
      </c>
      <c r="C593" s="1" t="s">
        <v>1500</v>
      </c>
      <c r="D593" t="s">
        <v>1501</v>
      </c>
      <c r="E593">
        <v>26500</v>
      </c>
      <c r="F593" t="s">
        <v>1478</v>
      </c>
    </row>
    <row r="594" spans="1:6" customHeight="1" ht="13.8">
      <c r="A594" t="s">
        <v>1502</v>
      </c>
      <c r="B594" t="s">
        <v>1503</v>
      </c>
      <c r="C594" s="1" t="s">
        <v>1504</v>
      </c>
      <c r="D594" t="s">
        <v>1505</v>
      </c>
      <c r="E594">
        <v>26500</v>
      </c>
      <c r="F594" t="s">
        <v>1478</v>
      </c>
    </row>
    <row r="595" spans="1:6" customHeight="1" ht="13.8">
      <c r="A595" t="s">
        <v>1506</v>
      </c>
      <c r="B595" t="s">
        <v>1507</v>
      </c>
      <c r="C595">
        <v>137173547</v>
      </c>
      <c r="D595" t="s">
        <v>1508</v>
      </c>
      <c r="E595">
        <v>26500</v>
      </c>
      <c r="F595" t="s">
        <v>1478</v>
      </c>
    </row>
    <row r="596" spans="1:6" customHeight="1" ht="13.8">
      <c r="A596" t="s">
        <v>1509</v>
      </c>
      <c r="B596" t="s">
        <v>1510</v>
      </c>
      <c r="C596" s="1" t="s">
        <v>1511</v>
      </c>
      <c r="D596" t="s">
        <v>1512</v>
      </c>
      <c r="E596">
        <v>26500</v>
      </c>
      <c r="F596" t="s">
        <v>1478</v>
      </c>
    </row>
    <row r="597" spans="1:6" customHeight="1" ht="13.8">
      <c r="A597" t="s">
        <v>1513</v>
      </c>
      <c r="B597" t="s">
        <v>1514</v>
      </c>
      <c r="C597">
        <v>116204691</v>
      </c>
      <c r="D597" t="s">
        <v>1515</v>
      </c>
      <c r="E597">
        <v>26500</v>
      </c>
      <c r="F597" t="s">
        <v>1516</v>
      </c>
    </row>
    <row r="598" spans="1:6" customHeight="1" ht="13.8">
      <c r="A598" t="s">
        <v>1517</v>
      </c>
      <c r="B598" t="s">
        <v>1518</v>
      </c>
      <c r="C598" s="1" t="s">
        <v>1519</v>
      </c>
      <c r="D598" t="s">
        <v>1520</v>
      </c>
      <c r="E598">
        <v>26500</v>
      </c>
      <c r="F598" t="s">
        <v>1516</v>
      </c>
    </row>
    <row r="599" spans="1:6" customHeight="1" ht="13.8">
      <c r="A599" t="s">
        <v>1521</v>
      </c>
      <c r="B599" t="s">
        <v>1522</v>
      </c>
      <c r="C599" s="1" t="s">
        <v>1523</v>
      </c>
      <c r="D599" t="s">
        <v>1524</v>
      </c>
      <c r="E599">
        <v>26500</v>
      </c>
      <c r="F599" t="s">
        <v>1516</v>
      </c>
    </row>
    <row r="600" spans="1:6" customHeight="1" ht="13.8">
      <c r="A600" t="s">
        <v>1525</v>
      </c>
      <c r="B600" t="s">
        <v>1526</v>
      </c>
      <c r="C600" s="1" t="s">
        <v>1527</v>
      </c>
      <c r="D600" t="s">
        <v>1528</v>
      </c>
      <c r="E600">
        <v>26500</v>
      </c>
      <c r="F600" t="s">
        <v>1516</v>
      </c>
    </row>
    <row r="601" spans="1:6" customHeight="1" ht="13.8">
      <c r="A601" t="s">
        <v>1529</v>
      </c>
      <c r="B601" t="s">
        <v>1530</v>
      </c>
      <c r="C601" s="1" t="s">
        <v>1531</v>
      </c>
      <c r="D601" t="s">
        <v>1532</v>
      </c>
      <c r="E601">
        <v>26500</v>
      </c>
      <c r="F601" t="s">
        <v>1516</v>
      </c>
    </row>
    <row r="602" spans="1:6" customHeight="1" ht="13.8">
      <c r="A602" t="s">
        <v>1533</v>
      </c>
      <c r="B602" t="s">
        <v>1534</v>
      </c>
      <c r="C602" s="1" t="s">
        <v>1535</v>
      </c>
      <c r="D602" t="s">
        <v>1536</v>
      </c>
      <c r="E602">
        <v>26500</v>
      </c>
      <c r="F602" t="s">
        <v>1516</v>
      </c>
    </row>
    <row r="603" spans="1:6" customHeight="1" ht="13.8">
      <c r="A603" t="s">
        <v>1537</v>
      </c>
      <c r="B603" t="s">
        <v>1538</v>
      </c>
      <c r="C603" s="1" t="s">
        <v>1539</v>
      </c>
      <c r="D603" t="s">
        <v>1540</v>
      </c>
      <c r="E603">
        <v>26500</v>
      </c>
      <c r="F603" t="s">
        <v>1516</v>
      </c>
    </row>
    <row r="604" spans="1:6" customHeight="1" ht="13.8">
      <c r="A604" t="s">
        <v>234</v>
      </c>
      <c r="B604" t="s">
        <v>235</v>
      </c>
      <c r="C604" s="1" t="s">
        <v>236</v>
      </c>
      <c r="D604" t="s">
        <v>237</v>
      </c>
      <c r="E604">
        <v>25000</v>
      </c>
      <c r="F604" t="s">
        <v>1541</v>
      </c>
    </row>
    <row r="605" spans="1:6" customHeight="1" ht="13.8">
      <c r="A605" t="s">
        <v>1542</v>
      </c>
      <c r="B605" t="s">
        <v>1543</v>
      </c>
      <c r="C605" s="1" t="s">
        <v>1544</v>
      </c>
      <c r="D605" t="s">
        <v>1545</v>
      </c>
      <c r="E605">
        <v>25000</v>
      </c>
      <c r="F605" t="s">
        <v>1541</v>
      </c>
    </row>
    <row r="606" spans="1:6" customHeight="1" ht="13.8">
      <c r="A606" t="s">
        <v>1546</v>
      </c>
      <c r="B606" t="s">
        <v>1547</v>
      </c>
      <c r="C606" s="1" t="s">
        <v>1548</v>
      </c>
      <c r="D606" t="s">
        <v>1549</v>
      </c>
      <c r="E606">
        <v>25000</v>
      </c>
      <c r="F606" t="s">
        <v>1541</v>
      </c>
    </row>
    <row r="607" spans="1:6" customHeight="1" ht="13.8">
      <c r="A607" t="s">
        <v>1550</v>
      </c>
      <c r="B607" t="s">
        <v>1551</v>
      </c>
      <c r="C607">
        <v>113960811</v>
      </c>
      <c r="D607" t="s">
        <v>1552</v>
      </c>
      <c r="E607">
        <v>26500</v>
      </c>
      <c r="F607" t="s">
        <v>1553</v>
      </c>
    </row>
    <row r="608" spans="1:6" customHeight="1" ht="13.8">
      <c r="A608" t="s">
        <v>1554</v>
      </c>
      <c r="B608" t="s">
        <v>1555</v>
      </c>
      <c r="C608" s="1" t="s">
        <v>1556</v>
      </c>
      <c r="D608" t="s">
        <v>1557</v>
      </c>
      <c r="E608">
        <v>26500</v>
      </c>
      <c r="F608" t="s">
        <v>1553</v>
      </c>
    </row>
    <row r="609" spans="1:6" customHeight="1" ht="13.8">
      <c r="A609" t="s">
        <v>1558</v>
      </c>
      <c r="B609" t="s">
        <v>1559</v>
      </c>
      <c r="C609" s="1" t="s">
        <v>1560</v>
      </c>
      <c r="D609" t="s">
        <v>1561</v>
      </c>
      <c r="E609">
        <v>26500</v>
      </c>
      <c r="F609" t="s">
        <v>1553</v>
      </c>
    </row>
    <row r="610" spans="1:6" customHeight="1" ht="13.8">
      <c r="A610" t="s">
        <v>1562</v>
      </c>
      <c r="B610" t="s">
        <v>1563</v>
      </c>
      <c r="C610">
        <v>123276450</v>
      </c>
      <c r="D610" t="s">
        <v>1564</v>
      </c>
      <c r="E610">
        <v>26500</v>
      </c>
      <c r="F610" t="s">
        <v>1553</v>
      </c>
    </row>
    <row r="611" spans="1:6" customHeight="1" ht="13.8">
      <c r="A611" t="s">
        <v>1565</v>
      </c>
      <c r="B611" t="s">
        <v>1566</v>
      </c>
      <c r="C611">
        <v>118994583</v>
      </c>
      <c r="D611" t="s">
        <v>1567</v>
      </c>
      <c r="E611">
        <v>26500</v>
      </c>
      <c r="F611" t="s">
        <v>1553</v>
      </c>
    </row>
    <row r="612" spans="1:6" customHeight="1" ht="13.8">
      <c r="A612" t="s">
        <v>1568</v>
      </c>
      <c r="B612" t="s">
        <v>1569</v>
      </c>
      <c r="C612" s="1" t="s">
        <v>1570</v>
      </c>
      <c r="D612" t="s">
        <v>1571</v>
      </c>
      <c r="E612">
        <v>11500</v>
      </c>
      <c r="F612" t="s">
        <v>1572</v>
      </c>
    </row>
    <row r="613" spans="1:6" customHeight="1" ht="13.8">
      <c r="A613" t="s">
        <v>1573</v>
      </c>
      <c r="B613" t="s">
        <v>1574</v>
      </c>
      <c r="C613">
        <v>109583691</v>
      </c>
      <c r="D613" t="s">
        <v>1575</v>
      </c>
      <c r="E613">
        <v>11500</v>
      </c>
      <c r="F613" t="s">
        <v>1572</v>
      </c>
    </row>
    <row r="614" spans="1:6" customHeight="1" ht="13.8">
      <c r="A614" t="s">
        <v>1576</v>
      </c>
      <c r="B614" t="s">
        <v>1577</v>
      </c>
      <c r="C614" s="1" t="s">
        <v>1578</v>
      </c>
      <c r="D614" t="s">
        <v>1579</v>
      </c>
      <c r="E614">
        <v>11500</v>
      </c>
      <c r="F614" t="s">
        <v>1572</v>
      </c>
    </row>
    <row r="615" spans="1:6" customHeight="1" ht="13.8">
      <c r="A615" t="s">
        <v>1580</v>
      </c>
      <c r="B615" t="s">
        <v>1581</v>
      </c>
      <c r="C615">
        <v>123505556</v>
      </c>
      <c r="D615" t="s">
        <v>1582</v>
      </c>
      <c r="E615">
        <v>11500</v>
      </c>
      <c r="F615" t="s">
        <v>1572</v>
      </c>
    </row>
    <row r="616" spans="1:6" customHeight="1" ht="13.8">
      <c r="A616" t="s">
        <v>1583</v>
      </c>
      <c r="B616" t="s">
        <v>1584</v>
      </c>
      <c r="C616" s="1" t="s">
        <v>1585</v>
      </c>
      <c r="D616" t="s">
        <v>1586</v>
      </c>
      <c r="E616">
        <v>17500</v>
      </c>
      <c r="F616" t="s">
        <v>1587</v>
      </c>
    </row>
    <row r="617" spans="1:6" customHeight="1" ht="13.8">
      <c r="A617" t="s">
        <v>1588</v>
      </c>
      <c r="B617" t="s">
        <v>1589</v>
      </c>
      <c r="C617" s="1" t="s">
        <v>1590</v>
      </c>
      <c r="D617" t="s">
        <v>1591</v>
      </c>
      <c r="E617">
        <v>17500</v>
      </c>
      <c r="F617" t="s">
        <v>1587</v>
      </c>
    </row>
    <row r="618" spans="1:6" customHeight="1" ht="13.8">
      <c r="A618" t="s">
        <v>1592</v>
      </c>
      <c r="B618" t="s">
        <v>1593</v>
      </c>
      <c r="C618">
        <v>125975441</v>
      </c>
      <c r="D618" t="s">
        <v>1594</v>
      </c>
      <c r="E618">
        <v>23000</v>
      </c>
      <c r="F618" t="s">
        <v>1595</v>
      </c>
    </row>
    <row r="619" spans="1:6" customHeight="1" ht="13.8">
      <c r="A619" t="s">
        <v>1596</v>
      </c>
      <c r="B619" t="s">
        <v>1597</v>
      </c>
      <c r="C619">
        <v>143179692</v>
      </c>
      <c r="D619" t="s">
        <v>1598</v>
      </c>
      <c r="E619">
        <v>23000</v>
      </c>
      <c r="F619" t="s">
        <v>1595</v>
      </c>
    </row>
    <row r="620" spans="1:6" customHeight="1" ht="13.8">
      <c r="A620" t="s">
        <v>1599</v>
      </c>
      <c r="B620" t="s">
        <v>1600</v>
      </c>
      <c r="C620" s="1" t="s">
        <v>1601</v>
      </c>
      <c r="D620" t="s">
        <v>1602</v>
      </c>
      <c r="E620">
        <v>23000</v>
      </c>
      <c r="F620" t="s">
        <v>1595</v>
      </c>
    </row>
    <row r="621" spans="1:6" customHeight="1" ht="13.8">
      <c r="A621" t="s">
        <v>1576</v>
      </c>
      <c r="B621" t="s">
        <v>1577</v>
      </c>
      <c r="C621" s="1" t="s">
        <v>1578</v>
      </c>
      <c r="D621" t="s">
        <v>1579</v>
      </c>
      <c r="E621">
        <v>11500</v>
      </c>
      <c r="F621" t="s">
        <v>1603</v>
      </c>
    </row>
    <row r="622" spans="1:6" customHeight="1" ht="13.8">
      <c r="A622" t="s">
        <v>1604</v>
      </c>
      <c r="B622" t="s">
        <v>1605</v>
      </c>
      <c r="C622" s="1" t="s">
        <v>1606</v>
      </c>
      <c r="D622" t="s">
        <v>1607</v>
      </c>
      <c r="E622">
        <v>11500</v>
      </c>
      <c r="F622" t="s">
        <v>1603</v>
      </c>
    </row>
    <row r="623" spans="1:6" customHeight="1" ht="13.8">
      <c r="A623" t="s">
        <v>1608</v>
      </c>
      <c r="B623" t="s">
        <v>1609</v>
      </c>
      <c r="C623" s="1" t="s">
        <v>1610</v>
      </c>
      <c r="D623" t="s">
        <v>1611</v>
      </c>
      <c r="E623">
        <v>11500</v>
      </c>
      <c r="F623" t="s">
        <v>1603</v>
      </c>
    </row>
    <row r="624" spans="1:6" customHeight="1" ht="13.8">
      <c r="A624" t="s">
        <v>1580</v>
      </c>
      <c r="B624" t="s">
        <v>1581</v>
      </c>
      <c r="C624">
        <v>123505556</v>
      </c>
      <c r="D624" t="s">
        <v>1582</v>
      </c>
      <c r="E624">
        <v>11500</v>
      </c>
      <c r="F624" t="s">
        <v>1603</v>
      </c>
    </row>
    <row r="625" spans="1:6" customHeight="1" ht="13.8">
      <c r="A625" t="s">
        <v>1612</v>
      </c>
      <c r="B625" t="s">
        <v>1613</v>
      </c>
      <c r="C625">
        <v>128427657</v>
      </c>
      <c r="D625" t="s">
        <v>1614</v>
      </c>
      <c r="E625">
        <v>11500</v>
      </c>
      <c r="F625" t="s">
        <v>1603</v>
      </c>
    </row>
    <row r="626" spans="1:6" customHeight="1" ht="13.8">
      <c r="A626" t="s">
        <v>1615</v>
      </c>
      <c r="B626" t="s">
        <v>1616</v>
      </c>
      <c r="C626">
        <v>147862914</v>
      </c>
      <c r="D626" t="s">
        <v>1617</v>
      </c>
      <c r="E626">
        <v>11500</v>
      </c>
      <c r="F626" t="s">
        <v>1603</v>
      </c>
    </row>
    <row r="627" spans="1:6" customHeight="1" ht="13.8">
      <c r="A627" t="s">
        <v>15</v>
      </c>
      <c r="B627" t="s">
        <v>16</v>
      </c>
      <c r="C627" s="1" t="s">
        <v>17</v>
      </c>
      <c r="D627" t="s">
        <v>18</v>
      </c>
      <c r="E627">
        <v>5500</v>
      </c>
      <c r="F627" t="s">
        <v>1618</v>
      </c>
    </row>
    <row r="628" spans="1:6" customHeight="1" ht="13.8">
      <c r="A628" t="s">
        <v>6</v>
      </c>
      <c r="B628" t="s">
        <v>7</v>
      </c>
      <c r="C628" s="1" t="s">
        <v>8</v>
      </c>
      <c r="D628" t="s">
        <v>9</v>
      </c>
      <c r="E628">
        <v>5500</v>
      </c>
      <c r="F628" t="s">
        <v>1618</v>
      </c>
    </row>
    <row r="629" spans="1:6" customHeight="1" ht="13.8">
      <c r="A629" t="s">
        <v>280</v>
      </c>
      <c r="B629" t="s">
        <v>281</v>
      </c>
      <c r="C629" s="1" t="s">
        <v>282</v>
      </c>
      <c r="D629" t="s">
        <v>283</v>
      </c>
      <c r="E629">
        <v>5500</v>
      </c>
      <c r="F629" t="s">
        <v>1618</v>
      </c>
    </row>
    <row r="630" spans="1:6" customHeight="1" ht="13.8">
      <c r="A630" t="s">
        <v>6</v>
      </c>
      <c r="B630" t="s">
        <v>7</v>
      </c>
      <c r="C630" s="1" t="s">
        <v>8</v>
      </c>
      <c r="D630" t="s">
        <v>9</v>
      </c>
      <c r="E630">
        <v>5500</v>
      </c>
      <c r="F630" t="s">
        <v>1619</v>
      </c>
    </row>
    <row r="631" spans="1:6" customHeight="1" ht="13.8">
      <c r="A631" t="s">
        <v>11</v>
      </c>
      <c r="B631" t="s">
        <v>12</v>
      </c>
      <c r="C631" s="1" t="s">
        <v>13</v>
      </c>
      <c r="D631" t="s">
        <v>14</v>
      </c>
      <c r="E631">
        <v>5500</v>
      </c>
      <c r="F631" t="s">
        <v>1619</v>
      </c>
    </row>
    <row r="632" spans="1:6" customHeight="1" ht="13.8">
      <c r="A632" t="s">
        <v>15</v>
      </c>
      <c r="B632" t="s">
        <v>16</v>
      </c>
      <c r="C632" s="1" t="s">
        <v>17</v>
      </c>
      <c r="D632" t="s">
        <v>18</v>
      </c>
      <c r="E632">
        <v>5500</v>
      </c>
      <c r="F632" t="s">
        <v>1619</v>
      </c>
    </row>
    <row r="633" spans="1:6" customHeight="1" ht="13.8">
      <c r="A633" t="s">
        <v>19</v>
      </c>
      <c r="B633" t="s">
        <v>20</v>
      </c>
      <c r="C633" s="1" t="s">
        <v>21</v>
      </c>
      <c r="D633" t="s">
        <v>22</v>
      </c>
      <c r="E633">
        <v>5500</v>
      </c>
      <c r="F633" t="s">
        <v>1619</v>
      </c>
    </row>
    <row r="634" spans="1:6" customHeight="1" ht="13.8">
      <c r="A634" t="s">
        <v>126</v>
      </c>
      <c r="B634" t="s">
        <v>127</v>
      </c>
      <c r="C634" s="1" t="s">
        <v>128</v>
      </c>
      <c r="D634" t="s">
        <v>129</v>
      </c>
      <c r="E634">
        <v>5500</v>
      </c>
      <c r="F634" t="s">
        <v>1619</v>
      </c>
    </row>
    <row r="635" spans="1:6" customHeight="1" ht="13.8">
      <c r="A635" t="s">
        <v>19</v>
      </c>
      <c r="B635" t="s">
        <v>20</v>
      </c>
      <c r="C635" s="1" t="s">
        <v>21</v>
      </c>
      <c r="D635" t="s">
        <v>22</v>
      </c>
      <c r="E635">
        <v>8000</v>
      </c>
      <c r="F635" t="s">
        <v>1620</v>
      </c>
    </row>
    <row r="636" spans="1:6" customHeight="1" ht="13.8">
      <c r="A636" t="s">
        <v>15</v>
      </c>
      <c r="B636" t="s">
        <v>16</v>
      </c>
      <c r="C636" s="1" t="s">
        <v>17</v>
      </c>
      <c r="D636" t="s">
        <v>18</v>
      </c>
      <c r="E636">
        <v>8000</v>
      </c>
      <c r="F636" t="s">
        <v>1620</v>
      </c>
    </row>
    <row r="637" spans="1:6" customHeight="1" ht="13.8">
      <c r="A637" t="s">
        <v>11</v>
      </c>
      <c r="B637" t="s">
        <v>12</v>
      </c>
      <c r="C637" s="1" t="s">
        <v>13</v>
      </c>
      <c r="D637" t="s">
        <v>14</v>
      </c>
      <c r="E637">
        <v>8000</v>
      </c>
      <c r="F637" t="s">
        <v>1620</v>
      </c>
    </row>
    <row r="638" spans="1:6" customHeight="1" ht="13.8">
      <c r="A638" t="s">
        <v>6</v>
      </c>
      <c r="B638" t="s">
        <v>7</v>
      </c>
      <c r="C638" s="1" t="s">
        <v>8</v>
      </c>
      <c r="D638" t="s">
        <v>9</v>
      </c>
      <c r="E638">
        <v>8000</v>
      </c>
      <c r="F638" t="s">
        <v>1620</v>
      </c>
    </row>
    <row r="639" spans="1:6" customHeight="1" ht="13.8">
      <c r="A639" t="s">
        <v>194</v>
      </c>
      <c r="B639" t="s">
        <v>195</v>
      </c>
      <c r="C639">
        <v>121397629</v>
      </c>
      <c r="D639" t="s">
        <v>196</v>
      </c>
      <c r="E639">
        <v>500</v>
      </c>
      <c r="F639" t="s">
        <v>1621</v>
      </c>
    </row>
    <row r="640" spans="1:6" customHeight="1" ht="13.8">
      <c r="A640" t="s">
        <v>113</v>
      </c>
      <c r="B640" t="s">
        <v>114</v>
      </c>
      <c r="C640" s="1" t="s">
        <v>115</v>
      </c>
      <c r="D640" t="s">
        <v>116</v>
      </c>
      <c r="E640">
        <v>500</v>
      </c>
      <c r="F640" t="s">
        <v>1622</v>
      </c>
    </row>
    <row r="641" spans="1:6" customHeight="1" ht="13.8">
      <c r="A641" t="s">
        <v>23</v>
      </c>
      <c r="B641" t="s">
        <v>24</v>
      </c>
      <c r="C641" s="1" t="s">
        <v>25</v>
      </c>
      <c r="D641" t="s">
        <v>26</v>
      </c>
      <c r="E641">
        <v>500</v>
      </c>
      <c r="F641" t="s">
        <v>1622</v>
      </c>
    </row>
    <row r="642" spans="1:6" customHeight="1" ht="13.8">
      <c r="A642" t="s">
        <v>105</v>
      </c>
      <c r="B642" t="s">
        <v>106</v>
      </c>
      <c r="C642" s="1" t="s">
        <v>107</v>
      </c>
      <c r="D642" t="s">
        <v>108</v>
      </c>
      <c r="E642">
        <v>500</v>
      </c>
      <c r="F642" t="s">
        <v>1622</v>
      </c>
    </row>
    <row r="643" spans="1:6" customHeight="1" ht="13.8">
      <c r="A643" t="s">
        <v>215</v>
      </c>
      <c r="B643" t="s">
        <v>216</v>
      </c>
      <c r="C643" s="1" t="s">
        <v>217</v>
      </c>
      <c r="D643" t="s">
        <v>218</v>
      </c>
      <c r="E643">
        <v>500</v>
      </c>
      <c r="F643" t="s">
        <v>1622</v>
      </c>
    </row>
    <row r="644" spans="1:6" customHeight="1" ht="13.8">
      <c r="A644" t="s">
        <v>39</v>
      </c>
      <c r="B644" t="s">
        <v>40</v>
      </c>
      <c r="C644" s="1" t="s">
        <v>41</v>
      </c>
      <c r="D644" t="s">
        <v>42</v>
      </c>
      <c r="E644">
        <v>500</v>
      </c>
      <c r="F644" t="s">
        <v>1622</v>
      </c>
    </row>
    <row r="645" spans="1:6" customHeight="1" ht="13.8">
      <c r="A645" t="s">
        <v>97</v>
      </c>
      <c r="B645" t="s">
        <v>98</v>
      </c>
      <c r="C645">
        <v>138671170</v>
      </c>
      <c r="D645" t="s">
        <v>99</v>
      </c>
      <c r="E645">
        <v>500</v>
      </c>
      <c r="F645" t="s">
        <v>1622</v>
      </c>
    </row>
    <row r="646" spans="1:6" customHeight="1" ht="13.8">
      <c r="A646" t="s">
        <v>23</v>
      </c>
      <c r="B646" t="s">
        <v>24</v>
      </c>
      <c r="C646" s="1" t="s">
        <v>25</v>
      </c>
      <c r="D646" t="s">
        <v>26</v>
      </c>
      <c r="E646">
        <v>500</v>
      </c>
      <c r="F646" t="s">
        <v>1623</v>
      </c>
    </row>
    <row r="647" spans="1:6" customHeight="1" ht="13.8">
      <c r="A647" t="s">
        <v>49</v>
      </c>
      <c r="B647" t="s">
        <v>50</v>
      </c>
      <c r="C647" s="1" t="s">
        <v>51</v>
      </c>
      <c r="D647" t="s">
        <v>52</v>
      </c>
      <c r="E647">
        <v>500</v>
      </c>
      <c r="F647" t="s">
        <v>1624</v>
      </c>
    </row>
    <row r="648" spans="1:6" customHeight="1" ht="13.8">
      <c r="A648" t="s">
        <v>1625</v>
      </c>
      <c r="B648" t="s">
        <v>1626</v>
      </c>
      <c r="C648" s="1" t="s">
        <v>1627</v>
      </c>
      <c r="D648" t="s">
        <v>539</v>
      </c>
      <c r="E648">
        <v>500</v>
      </c>
      <c r="F648" t="s">
        <v>1624</v>
      </c>
    </row>
    <row r="649" spans="1:6" customHeight="1" ht="13.8">
      <c r="A649" t="s">
        <v>35</v>
      </c>
      <c r="B649" t="s">
        <v>36</v>
      </c>
      <c r="C649" s="1" t="s">
        <v>37</v>
      </c>
      <c r="D649" t="s">
        <v>38</v>
      </c>
      <c r="E649">
        <v>500</v>
      </c>
      <c r="F649" t="s">
        <v>1624</v>
      </c>
    </row>
    <row r="650" spans="1:6" customHeight="1" ht="13.8">
      <c r="A650" t="s">
        <v>336</v>
      </c>
      <c r="B650" t="s">
        <v>337</v>
      </c>
      <c r="C650" s="1" t="s">
        <v>338</v>
      </c>
      <c r="D650" t="s">
        <v>339</v>
      </c>
      <c r="E650">
        <v>500</v>
      </c>
      <c r="F650" t="s">
        <v>1624</v>
      </c>
    </row>
    <row r="651" spans="1:6" customHeight="1" ht="13.8">
      <c r="A651" t="s">
        <v>211</v>
      </c>
      <c r="B651" t="s">
        <v>212</v>
      </c>
      <c r="C651" s="1" t="s">
        <v>213</v>
      </c>
      <c r="D651" t="s">
        <v>214</v>
      </c>
      <c r="E651">
        <v>2500</v>
      </c>
      <c r="F651" t="s">
        <v>1628</v>
      </c>
    </row>
    <row r="652" spans="1:6" customHeight="1" ht="13.8">
      <c r="A652" t="s">
        <v>215</v>
      </c>
      <c r="B652" t="s">
        <v>216</v>
      </c>
      <c r="C652" s="1" t="s">
        <v>217</v>
      </c>
      <c r="D652" t="s">
        <v>218</v>
      </c>
      <c r="E652">
        <v>2500</v>
      </c>
      <c r="F652" t="s">
        <v>1628</v>
      </c>
    </row>
    <row r="653" spans="1:6" customHeight="1" ht="13.8">
      <c r="A653" t="s">
        <v>101</v>
      </c>
      <c r="B653" t="s">
        <v>102</v>
      </c>
      <c r="C653">
        <v>105841072</v>
      </c>
      <c r="D653" t="s">
        <v>103</v>
      </c>
      <c r="E653">
        <v>2500</v>
      </c>
      <c r="F653" t="s">
        <v>1628</v>
      </c>
    </row>
    <row r="654" spans="1:6" customHeight="1" ht="13.8">
      <c r="A654" t="s">
        <v>97</v>
      </c>
      <c r="B654" t="s">
        <v>98</v>
      </c>
      <c r="C654">
        <v>138671170</v>
      </c>
      <c r="D654" t="s">
        <v>99</v>
      </c>
      <c r="E654">
        <v>2500</v>
      </c>
      <c r="F654" t="s">
        <v>1628</v>
      </c>
    </row>
    <row r="655" spans="1:6" customHeight="1" ht="13.8">
      <c r="A655" t="s">
        <v>109</v>
      </c>
      <c r="B655" t="s">
        <v>110</v>
      </c>
      <c r="C655" s="1" t="s">
        <v>111</v>
      </c>
      <c r="D655" t="s">
        <v>112</v>
      </c>
      <c r="E655">
        <v>2500</v>
      </c>
      <c r="F655" t="s">
        <v>1628</v>
      </c>
    </row>
    <row r="656" spans="1:6" customHeight="1" ht="13.8">
      <c r="A656" t="s">
        <v>23</v>
      </c>
      <c r="B656" t="s">
        <v>24</v>
      </c>
      <c r="C656" s="1" t="s">
        <v>25</v>
      </c>
      <c r="D656" t="s">
        <v>26</v>
      </c>
      <c r="E656">
        <v>2500</v>
      </c>
      <c r="F656" t="s">
        <v>1628</v>
      </c>
    </row>
    <row r="657" spans="1:6" customHeight="1" ht="13.8">
      <c r="A657" t="s">
        <v>28</v>
      </c>
      <c r="B657" t="s">
        <v>29</v>
      </c>
      <c r="C657" s="1" t="s">
        <v>30</v>
      </c>
      <c r="D657" t="s">
        <v>31</v>
      </c>
      <c r="E657">
        <v>13500</v>
      </c>
      <c r="F657" t="s">
        <v>1629</v>
      </c>
    </row>
    <row r="658" spans="1:6" customHeight="1" ht="13.8">
      <c r="A658" t="s">
        <v>28</v>
      </c>
      <c r="B658" t="s">
        <v>29</v>
      </c>
      <c r="C658" s="1" t="s">
        <v>30</v>
      </c>
      <c r="D658" t="s">
        <v>31</v>
      </c>
      <c r="E658">
        <v>6000</v>
      </c>
      <c r="F658" t="s">
        <v>1630</v>
      </c>
    </row>
    <row r="659" spans="1:6" customHeight="1" ht="13.8">
      <c r="A659" t="s">
        <v>92</v>
      </c>
      <c r="B659" t="s">
        <v>93</v>
      </c>
      <c r="C659" s="1" t="s">
        <v>94</v>
      </c>
      <c r="D659" t="s">
        <v>95</v>
      </c>
      <c r="E659">
        <v>6000</v>
      </c>
      <c r="F659" t="s">
        <v>1630</v>
      </c>
    </row>
    <row r="660" spans="1:6" customHeight="1" ht="13.8">
      <c r="A660" t="s">
        <v>44</v>
      </c>
      <c r="B660" t="s">
        <v>45</v>
      </c>
      <c r="C660" s="1" t="s">
        <v>46</v>
      </c>
      <c r="D660" t="s">
        <v>47</v>
      </c>
      <c r="E660">
        <v>6000</v>
      </c>
      <c r="F660" t="s">
        <v>1630</v>
      </c>
    </row>
    <row r="661" spans="1:6" customHeight="1" ht="13.8">
      <c r="A661" t="s">
        <v>314</v>
      </c>
      <c r="B661" t="s">
        <v>315</v>
      </c>
      <c r="C661" s="1" t="s">
        <v>316</v>
      </c>
      <c r="D661" t="s">
        <v>317</v>
      </c>
      <c r="E661">
        <v>6000</v>
      </c>
      <c r="F661" t="s">
        <v>1630</v>
      </c>
    </row>
    <row r="662" spans="1:6" customHeight="1" ht="13.8">
      <c r="A662" t="s">
        <v>336</v>
      </c>
      <c r="B662" t="s">
        <v>337</v>
      </c>
      <c r="C662" s="1" t="s">
        <v>338</v>
      </c>
      <c r="D662" t="s">
        <v>339</v>
      </c>
      <c r="E662">
        <v>6000</v>
      </c>
      <c r="F662" t="s">
        <v>1630</v>
      </c>
    </row>
    <row r="663" spans="1:6" customHeight="1" ht="13.8">
      <c r="A663" t="s">
        <v>322</v>
      </c>
      <c r="B663" t="s">
        <v>315</v>
      </c>
      <c r="C663" s="1" t="s">
        <v>316</v>
      </c>
      <c r="D663" t="s">
        <v>323</v>
      </c>
      <c r="E663">
        <v>6000</v>
      </c>
      <c r="F663" t="s">
        <v>1630</v>
      </c>
    </row>
    <row r="664" spans="1:6" customHeight="1" ht="13.8">
      <c r="A664" t="s">
        <v>324</v>
      </c>
      <c r="B664" t="s">
        <v>315</v>
      </c>
      <c r="C664" s="1" t="s">
        <v>316</v>
      </c>
      <c r="D664" t="s">
        <v>325</v>
      </c>
      <c r="E664">
        <v>-6000</v>
      </c>
      <c r="F664" t="s">
        <v>1630</v>
      </c>
    </row>
    <row r="665" spans="1:6" customHeight="1" ht="13.8">
      <c r="A665" t="s">
        <v>326</v>
      </c>
      <c r="B665" t="s">
        <v>315</v>
      </c>
      <c r="C665" s="1" t="s">
        <v>316</v>
      </c>
      <c r="D665" t="s">
        <v>327</v>
      </c>
      <c r="E665">
        <v>6000</v>
      </c>
      <c r="F665" t="s">
        <v>1630</v>
      </c>
    </row>
    <row r="666" spans="1:6" customHeight="1" ht="13.8">
      <c r="A666" t="s">
        <v>328</v>
      </c>
      <c r="B666" t="s">
        <v>315</v>
      </c>
      <c r="C666" s="1" t="s">
        <v>316</v>
      </c>
      <c r="D666" t="s">
        <v>327</v>
      </c>
      <c r="E666">
        <v>-6000</v>
      </c>
      <c r="F666" t="s">
        <v>1630</v>
      </c>
    </row>
    <row r="667" spans="1:6" customHeight="1" ht="13.8">
      <c r="A667" t="s">
        <v>329</v>
      </c>
      <c r="B667" t="s">
        <v>315</v>
      </c>
      <c r="C667" s="1" t="s">
        <v>316</v>
      </c>
      <c r="D667" t="s">
        <v>330</v>
      </c>
      <c r="E667">
        <v>6000</v>
      </c>
      <c r="F667" t="s">
        <v>1630</v>
      </c>
    </row>
    <row r="668" spans="1:6" customHeight="1" ht="13.8">
      <c r="A668" t="s">
        <v>28</v>
      </c>
      <c r="B668" t="s">
        <v>29</v>
      </c>
      <c r="C668" s="1" t="s">
        <v>30</v>
      </c>
      <c r="D668" t="s">
        <v>31</v>
      </c>
      <c r="E668">
        <v>6000</v>
      </c>
      <c r="F668" t="s">
        <v>1631</v>
      </c>
    </row>
    <row r="669" spans="1:6" customHeight="1" ht="13.8">
      <c r="A669" t="s">
        <v>1632</v>
      </c>
      <c r="B669" t="s">
        <v>1633</v>
      </c>
      <c r="C669">
        <v>118453682</v>
      </c>
      <c r="D669" t="s">
        <v>1634</v>
      </c>
      <c r="E669">
        <v>6000</v>
      </c>
      <c r="F669" t="s">
        <v>1631</v>
      </c>
    </row>
    <row r="670" spans="1:6" customHeight="1" ht="13.8">
      <c r="A670" t="s">
        <v>6</v>
      </c>
      <c r="B670" t="s">
        <v>7</v>
      </c>
      <c r="C670" s="1" t="s">
        <v>8</v>
      </c>
      <c r="D670" t="s">
        <v>9</v>
      </c>
      <c r="E670">
        <v>9000</v>
      </c>
      <c r="F670" t="s">
        <v>1635</v>
      </c>
    </row>
    <row r="671" spans="1:6" customHeight="1" ht="13.8">
      <c r="A671" t="s">
        <v>15</v>
      </c>
      <c r="B671" t="s">
        <v>16</v>
      </c>
      <c r="C671" s="1" t="s">
        <v>17</v>
      </c>
      <c r="D671" t="s">
        <v>18</v>
      </c>
      <c r="E671">
        <v>9000</v>
      </c>
      <c r="F671" t="s">
        <v>1635</v>
      </c>
    </row>
    <row r="672" spans="1:6" customHeight="1" ht="13.8">
      <c r="A672" t="s">
        <v>1636</v>
      </c>
      <c r="B672" t="s">
        <v>1637</v>
      </c>
      <c r="C672" s="1" t="s">
        <v>1638</v>
      </c>
      <c r="D672" t="s">
        <v>1639</v>
      </c>
      <c r="E672">
        <v>5000</v>
      </c>
      <c r="F672" t="s">
        <v>1640</v>
      </c>
    </row>
    <row r="673" spans="1:6" customHeight="1" ht="13.8">
      <c r="A673" t="s">
        <v>1641</v>
      </c>
      <c r="B673" t="s">
        <v>1642</v>
      </c>
      <c r="C673" s="1" t="s">
        <v>1643</v>
      </c>
      <c r="D673" t="s">
        <v>1644</v>
      </c>
      <c r="E673">
        <v>5000</v>
      </c>
      <c r="F673" t="s">
        <v>1640</v>
      </c>
    </row>
    <row r="674" spans="1:6" customHeight="1" ht="13.8">
      <c r="A674" t="s">
        <v>1645</v>
      </c>
      <c r="B674" t="s">
        <v>1263</v>
      </c>
      <c r="C674" s="1" t="s">
        <v>1264</v>
      </c>
      <c r="D674" t="s">
        <v>1646</v>
      </c>
      <c r="E674">
        <v>5000</v>
      </c>
      <c r="F674" t="s">
        <v>1640</v>
      </c>
    </row>
    <row r="675" spans="1:6" customHeight="1" ht="13.8">
      <c r="A675" t="s">
        <v>1647</v>
      </c>
      <c r="B675" t="s">
        <v>1648</v>
      </c>
      <c r="C675" s="1" t="s">
        <v>1649</v>
      </c>
      <c r="D675" t="s">
        <v>1650</v>
      </c>
      <c r="E675">
        <v>5000</v>
      </c>
      <c r="F675" t="s">
        <v>1640</v>
      </c>
    </row>
    <row r="676" spans="1:6" customHeight="1" ht="13.8">
      <c r="A676" t="s">
        <v>1651</v>
      </c>
      <c r="B676" t="s">
        <v>1652</v>
      </c>
      <c r="C676">
        <v>104961797</v>
      </c>
      <c r="D676" t="s">
        <v>1653</v>
      </c>
      <c r="E676">
        <v>5000</v>
      </c>
      <c r="F676" t="s">
        <v>1640</v>
      </c>
    </row>
    <row r="677" spans="1:6" customHeight="1" ht="13.8">
      <c r="A677" t="s">
        <v>329</v>
      </c>
      <c r="B677" t="s">
        <v>315</v>
      </c>
      <c r="C677" s="1" t="s">
        <v>316</v>
      </c>
      <c r="D677" t="s">
        <v>330</v>
      </c>
      <c r="E677">
        <v>6000</v>
      </c>
      <c r="F677" t="s">
        <v>1654</v>
      </c>
    </row>
    <row r="678" spans="1:6" customHeight="1" ht="13.8">
      <c r="A678" t="s">
        <v>328</v>
      </c>
      <c r="B678" t="s">
        <v>315</v>
      </c>
      <c r="C678" s="1" t="s">
        <v>316</v>
      </c>
      <c r="D678" t="s">
        <v>327</v>
      </c>
      <c r="E678">
        <v>-6000</v>
      </c>
      <c r="F678" t="s">
        <v>1654</v>
      </c>
    </row>
    <row r="679" spans="1:6" customHeight="1" ht="13.8">
      <c r="A679" t="s">
        <v>326</v>
      </c>
      <c r="B679" t="s">
        <v>315</v>
      </c>
      <c r="C679" s="1" t="s">
        <v>316</v>
      </c>
      <c r="D679" t="s">
        <v>327</v>
      </c>
      <c r="E679">
        <v>6000</v>
      </c>
      <c r="F679" t="s">
        <v>1654</v>
      </c>
    </row>
    <row r="680" spans="1:6" customHeight="1" ht="13.8">
      <c r="A680" t="s">
        <v>324</v>
      </c>
      <c r="B680" t="s">
        <v>315</v>
      </c>
      <c r="C680" s="1" t="s">
        <v>316</v>
      </c>
      <c r="D680" t="s">
        <v>325</v>
      </c>
      <c r="E680">
        <v>-6000</v>
      </c>
      <c r="F680" t="s">
        <v>1654</v>
      </c>
    </row>
    <row r="681" spans="1:6" customHeight="1" ht="13.8">
      <c r="A681" t="s">
        <v>322</v>
      </c>
      <c r="B681" t="s">
        <v>315</v>
      </c>
      <c r="C681" s="1" t="s">
        <v>316</v>
      </c>
      <c r="D681" t="s">
        <v>323</v>
      </c>
      <c r="E681">
        <v>6000</v>
      </c>
      <c r="F681" t="s">
        <v>1654</v>
      </c>
    </row>
    <row r="682" spans="1:6" customHeight="1" ht="13.8">
      <c r="A682" t="s">
        <v>202</v>
      </c>
      <c r="B682" t="s">
        <v>203</v>
      </c>
      <c r="C682" s="1" t="s">
        <v>204</v>
      </c>
      <c r="D682" t="s">
        <v>205</v>
      </c>
      <c r="E682">
        <v>6000</v>
      </c>
      <c r="F682" t="s">
        <v>1654</v>
      </c>
    </row>
    <row r="683" spans="1:6" customHeight="1" ht="13.8">
      <c r="A683" t="s">
        <v>336</v>
      </c>
      <c r="B683" t="s">
        <v>337</v>
      </c>
      <c r="C683" s="1" t="s">
        <v>338</v>
      </c>
      <c r="D683" t="s">
        <v>339</v>
      </c>
      <c r="E683">
        <v>6000</v>
      </c>
      <c r="F683" t="s">
        <v>1654</v>
      </c>
    </row>
    <row r="684" spans="1:6" customHeight="1" ht="13.8">
      <c r="A684" t="s">
        <v>314</v>
      </c>
      <c r="B684" t="s">
        <v>315</v>
      </c>
      <c r="C684" s="1" t="s">
        <v>316</v>
      </c>
      <c r="D684" t="s">
        <v>317</v>
      </c>
      <c r="E684">
        <v>6000</v>
      </c>
      <c r="F684" t="s">
        <v>1654</v>
      </c>
    </row>
    <row r="685" spans="1:6" customHeight="1" ht="13.8">
      <c r="A685" t="s">
        <v>1632</v>
      </c>
      <c r="B685" t="s">
        <v>1633</v>
      </c>
      <c r="C685">
        <v>118453682</v>
      </c>
      <c r="D685" t="s">
        <v>1634</v>
      </c>
      <c r="E685">
        <v>6000</v>
      </c>
      <c r="F685" t="s">
        <v>1654</v>
      </c>
    </row>
    <row r="686" spans="1:6" customHeight="1" ht="13.8">
      <c r="A686" t="s">
        <v>28</v>
      </c>
      <c r="B686" t="s">
        <v>29</v>
      </c>
      <c r="C686" s="1" t="s">
        <v>30</v>
      </c>
      <c r="D686" t="s">
        <v>31</v>
      </c>
      <c r="E686">
        <v>6000</v>
      </c>
      <c r="F686" t="s">
        <v>1654</v>
      </c>
    </row>
    <row r="687" spans="1:6" customHeight="1" ht="13.8">
      <c r="A687" t="s">
        <v>44</v>
      </c>
      <c r="B687" t="s">
        <v>45</v>
      </c>
      <c r="C687" s="1" t="s">
        <v>46</v>
      </c>
      <c r="D687" t="s">
        <v>47</v>
      </c>
      <c r="E687">
        <v>6000</v>
      </c>
      <c r="F687" t="s">
        <v>1654</v>
      </c>
    </row>
    <row r="688" spans="1:6" customHeight="1" ht="13.8">
      <c r="A688" t="s">
        <v>92</v>
      </c>
      <c r="B688" t="s">
        <v>93</v>
      </c>
      <c r="C688" s="1" t="s">
        <v>94</v>
      </c>
      <c r="D688" t="s">
        <v>95</v>
      </c>
      <c r="E688">
        <v>6000</v>
      </c>
      <c r="F688" t="s">
        <v>1654</v>
      </c>
    </row>
    <row r="689" spans="1:6" customHeight="1" ht="13.8">
      <c r="A689" t="s">
        <v>341</v>
      </c>
      <c r="B689" t="s">
        <v>342</v>
      </c>
      <c r="C689" s="1" t="s">
        <v>343</v>
      </c>
      <c r="D689" t="s">
        <v>344</v>
      </c>
      <c r="E689">
        <v>6000</v>
      </c>
      <c r="F689" t="s">
        <v>1654</v>
      </c>
    </row>
    <row r="690" spans="1:6" customHeight="1" ht="13.8">
      <c r="A690" t="s">
        <v>32</v>
      </c>
      <c r="B690" t="s">
        <v>33</v>
      </c>
      <c r="D690" t="s">
        <v>34</v>
      </c>
      <c r="E690">
        <v>500</v>
      </c>
      <c r="F690" t="s">
        <v>1655</v>
      </c>
    </row>
    <row r="691" spans="1:6" customHeight="1" ht="13.8">
      <c r="A691" t="s">
        <v>39</v>
      </c>
      <c r="B691" t="s">
        <v>40</v>
      </c>
      <c r="C691" s="1" t="s">
        <v>41</v>
      </c>
      <c r="D691" t="s">
        <v>42</v>
      </c>
      <c r="E691">
        <v>500</v>
      </c>
      <c r="F691" t="s">
        <v>1655</v>
      </c>
    </row>
    <row r="692" spans="1:6" customHeight="1" ht="13.8">
      <c r="A692" t="s">
        <v>1656</v>
      </c>
      <c r="B692" t="s">
        <v>16</v>
      </c>
      <c r="C692" s="1" t="s">
        <v>17</v>
      </c>
      <c r="D692" t="s">
        <v>1657</v>
      </c>
      <c r="E692">
        <v>10000</v>
      </c>
      <c r="F692" t="s">
        <v>1658</v>
      </c>
    </row>
    <row r="693" spans="1:6" customHeight="1" ht="13.8">
      <c r="A693" t="s">
        <v>1659</v>
      </c>
      <c r="B693" t="s">
        <v>1660</v>
      </c>
      <c r="C693">
        <v>114433165</v>
      </c>
      <c r="D693" t="s">
        <v>1661</v>
      </c>
      <c r="E693">
        <v>37000</v>
      </c>
      <c r="F693" t="s">
        <v>1662</v>
      </c>
    </row>
    <row r="694" spans="1:6" customHeight="1" ht="13.8">
      <c r="A694" t="s">
        <v>1663</v>
      </c>
      <c r="B694" t="s">
        <v>1664</v>
      </c>
      <c r="C694" s="1" t="s">
        <v>1665</v>
      </c>
      <c r="D694" t="s">
        <v>1666</v>
      </c>
      <c r="E694">
        <v>9500</v>
      </c>
      <c r="F694" t="s">
        <v>1667</v>
      </c>
    </row>
    <row r="695" spans="1:6" customHeight="1" ht="13.8">
      <c r="A695" t="s">
        <v>1668</v>
      </c>
      <c r="B695" t="s">
        <v>1669</v>
      </c>
      <c r="C695" s="1" t="s">
        <v>1670</v>
      </c>
      <c r="D695" t="s">
        <v>1671</v>
      </c>
      <c r="E695">
        <v>9500</v>
      </c>
      <c r="F695" t="s">
        <v>1667</v>
      </c>
    </row>
    <row r="696" spans="1:6" customHeight="1" ht="13.8">
      <c r="A696" t="s">
        <v>1672</v>
      </c>
      <c r="B696" t="s">
        <v>1673</v>
      </c>
      <c r="C696" s="1" t="s">
        <v>1674</v>
      </c>
      <c r="D696" t="s">
        <v>1675</v>
      </c>
      <c r="E696">
        <v>9500</v>
      </c>
      <c r="F696" t="s">
        <v>1667</v>
      </c>
    </row>
    <row r="697" spans="1:6" customHeight="1" ht="13.8">
      <c r="A697" t="s">
        <v>1676</v>
      </c>
      <c r="B697" t="s">
        <v>1677</v>
      </c>
      <c r="C697" s="1" t="s">
        <v>1678</v>
      </c>
      <c r="D697" t="s">
        <v>1679</v>
      </c>
      <c r="E697">
        <v>9500</v>
      </c>
      <c r="F697" t="s">
        <v>1667</v>
      </c>
    </row>
    <row r="698" spans="1:6" customHeight="1" ht="13.8">
      <c r="A698" t="s">
        <v>139</v>
      </c>
      <c r="B698" t="s">
        <v>140</v>
      </c>
      <c r="C698" s="1" t="s">
        <v>141</v>
      </c>
      <c r="D698" t="s">
        <v>142</v>
      </c>
      <c r="E698">
        <v>9500</v>
      </c>
      <c r="F698" t="s">
        <v>1667</v>
      </c>
    </row>
    <row r="699" spans="1:6" customHeight="1" ht="13.8">
      <c r="A699" t="s">
        <v>1680</v>
      </c>
      <c r="B699" t="s">
        <v>1681</v>
      </c>
      <c r="C699" s="1" t="s">
        <v>1682</v>
      </c>
      <c r="D699" t="s">
        <v>1683</v>
      </c>
      <c r="E699">
        <v>45000</v>
      </c>
      <c r="F699" t="s">
        <v>1684</v>
      </c>
    </row>
    <row r="700" spans="1:6" customHeight="1" ht="13.8">
      <c r="A700" t="s">
        <v>1685</v>
      </c>
      <c r="B700" t="s">
        <v>1686</v>
      </c>
      <c r="C700" s="1" t="s">
        <v>1687</v>
      </c>
      <c r="D700" t="s">
        <v>1688</v>
      </c>
      <c r="E700">
        <v>45000</v>
      </c>
      <c r="F700" t="s">
        <v>1684</v>
      </c>
    </row>
    <row r="701" spans="1:6" customHeight="1" ht="13.8">
      <c r="A701" t="s">
        <v>1689</v>
      </c>
      <c r="B701" t="s">
        <v>1690</v>
      </c>
      <c r="C701" s="1" t="s">
        <v>1691</v>
      </c>
      <c r="D701" t="s">
        <v>1692</v>
      </c>
      <c r="E701">
        <v>45000</v>
      </c>
      <c r="F701" t="s">
        <v>1684</v>
      </c>
    </row>
    <row r="702" spans="1:6" customHeight="1" ht="13.8">
      <c r="A702" t="s">
        <v>1693</v>
      </c>
      <c r="B702" t="s">
        <v>1694</v>
      </c>
      <c r="C702" s="1" t="s">
        <v>1695</v>
      </c>
      <c r="D702" t="s">
        <v>1696</v>
      </c>
      <c r="E702">
        <v>45000</v>
      </c>
      <c r="F702" t="s">
        <v>1684</v>
      </c>
    </row>
    <row r="703" spans="1:6" customHeight="1" ht="13.8">
      <c r="A703" t="s">
        <v>1697</v>
      </c>
      <c r="B703" t="s">
        <v>1698</v>
      </c>
      <c r="C703" s="1" t="s">
        <v>1699</v>
      </c>
      <c r="D703" t="s">
        <v>1700</v>
      </c>
      <c r="E703">
        <v>45000</v>
      </c>
      <c r="F703" t="s">
        <v>1684</v>
      </c>
    </row>
    <row r="704" spans="1:6" customHeight="1" ht="13.8">
      <c r="A704" t="s">
        <v>1701</v>
      </c>
      <c r="B704" t="s">
        <v>1702</v>
      </c>
      <c r="C704">
        <v>120400500</v>
      </c>
      <c r="D704" t="s">
        <v>1703</v>
      </c>
      <c r="E704">
        <v>45000</v>
      </c>
      <c r="F704" t="s">
        <v>1684</v>
      </c>
    </row>
    <row r="705" spans="1:6" customHeight="1" ht="13.8">
      <c r="A705" t="s">
        <v>1704</v>
      </c>
      <c r="B705" t="s">
        <v>1705</v>
      </c>
      <c r="C705">
        <v>112875280</v>
      </c>
      <c r="D705" t="s">
        <v>1706</v>
      </c>
      <c r="E705">
        <v>45000</v>
      </c>
      <c r="F705" t="s">
        <v>1684</v>
      </c>
    </row>
    <row r="706" spans="1:6" customHeight="1" ht="13.8">
      <c r="A706" t="s">
        <v>1707</v>
      </c>
      <c r="B706" t="s">
        <v>1708</v>
      </c>
      <c r="C706" s="1" t="s">
        <v>1709</v>
      </c>
      <c r="D706" t="s">
        <v>1710</v>
      </c>
      <c r="E706">
        <v>28000</v>
      </c>
      <c r="F706" t="s">
        <v>1711</v>
      </c>
    </row>
    <row r="707" spans="1:6" customHeight="1" ht="13.8">
      <c r="A707" t="s">
        <v>1712</v>
      </c>
      <c r="B707" t="s">
        <v>1713</v>
      </c>
      <c r="C707" s="1" t="s">
        <v>1714</v>
      </c>
      <c r="D707" t="s">
        <v>1715</v>
      </c>
      <c r="E707">
        <v>28000</v>
      </c>
      <c r="F707" t="s">
        <v>1716</v>
      </c>
    </row>
    <row r="708" spans="1:6" customHeight="1" ht="13.8">
      <c r="A708" t="s">
        <v>1717</v>
      </c>
      <c r="B708" t="s">
        <v>1718</v>
      </c>
      <c r="C708" s="1" t="s">
        <v>1719</v>
      </c>
      <c r="D708" t="s">
        <v>1720</v>
      </c>
      <c r="E708">
        <v>30000</v>
      </c>
      <c r="F708" t="s">
        <v>1721</v>
      </c>
    </row>
    <row r="709" spans="1:6" customHeight="1" ht="13.8">
      <c r="A709" t="s">
        <v>234</v>
      </c>
      <c r="B709" t="s">
        <v>235</v>
      </c>
      <c r="C709" s="1" t="s">
        <v>236</v>
      </c>
      <c r="D709" t="s">
        <v>237</v>
      </c>
      <c r="E709">
        <v>30000</v>
      </c>
      <c r="F709" t="s">
        <v>1721</v>
      </c>
    </row>
    <row r="710" spans="1:6" customHeight="1" ht="13.8">
      <c r="A710" t="s">
        <v>1722</v>
      </c>
      <c r="B710" t="s">
        <v>1723</v>
      </c>
      <c r="C710">
        <v>105504496</v>
      </c>
      <c r="D710" t="s">
        <v>1724</v>
      </c>
      <c r="E710">
        <v>30000</v>
      </c>
      <c r="F710" t="s">
        <v>1721</v>
      </c>
    </row>
    <row r="711" spans="1:6" customHeight="1" ht="13.8">
      <c r="A711" t="s">
        <v>1725</v>
      </c>
      <c r="B711" t="s">
        <v>1726</v>
      </c>
      <c r="C711" s="1" t="s">
        <v>1727</v>
      </c>
      <c r="D711" t="s">
        <v>1728</v>
      </c>
      <c r="E711">
        <v>30000</v>
      </c>
      <c r="F711" t="s">
        <v>1721</v>
      </c>
    </row>
    <row r="712" spans="1:6" customHeight="1" ht="13.8">
      <c r="A712" t="s">
        <v>1729</v>
      </c>
      <c r="B712" t="s">
        <v>1730</v>
      </c>
      <c r="C712">
        <v>115609945</v>
      </c>
      <c r="D712" t="s">
        <v>878</v>
      </c>
      <c r="E712">
        <v>30000</v>
      </c>
      <c r="F712" t="s">
        <v>1721</v>
      </c>
    </row>
    <row r="713" spans="1:6" customHeight="1" ht="13.8">
      <c r="A713" t="s">
        <v>1731</v>
      </c>
      <c r="B713" t="s">
        <v>1732</v>
      </c>
      <c r="C713">
        <v>105857493</v>
      </c>
      <c r="D713" t="s">
        <v>1733</v>
      </c>
      <c r="E713">
        <v>30000</v>
      </c>
      <c r="F713" t="s">
        <v>1721</v>
      </c>
    </row>
    <row r="714" spans="1:6" customHeight="1" ht="13.8">
      <c r="A714" t="s">
        <v>1734</v>
      </c>
      <c r="B714" t="s">
        <v>1735</v>
      </c>
      <c r="C714" s="1" t="s">
        <v>1736</v>
      </c>
      <c r="D714" t="s">
        <v>1737</v>
      </c>
      <c r="E714">
        <v>20000</v>
      </c>
      <c r="F714" t="s">
        <v>1738</v>
      </c>
    </row>
    <row r="715" spans="1:6" customHeight="1" ht="13.8">
      <c r="A715" t="s">
        <v>561</v>
      </c>
      <c r="B715" t="s">
        <v>562</v>
      </c>
      <c r="C715">
        <v>115340819</v>
      </c>
      <c r="D715" t="s">
        <v>563</v>
      </c>
      <c r="E715">
        <v>20000</v>
      </c>
      <c r="F715" t="s">
        <v>1739</v>
      </c>
    </row>
    <row r="716" spans="1:6" customHeight="1" ht="13.8">
      <c r="A716" t="s">
        <v>1740</v>
      </c>
      <c r="B716" t="s">
        <v>1741</v>
      </c>
      <c r="C716" s="1" t="s">
        <v>1742</v>
      </c>
      <c r="D716" t="s">
        <v>1743</v>
      </c>
      <c r="E716">
        <v>20000</v>
      </c>
      <c r="F716" t="s">
        <v>1744</v>
      </c>
    </row>
    <row r="717" spans="1:6" customHeight="1" ht="13.8">
      <c r="A717" t="s">
        <v>1745</v>
      </c>
      <c r="B717" t="s">
        <v>1746</v>
      </c>
      <c r="C717" s="1" t="s">
        <v>1747</v>
      </c>
      <c r="D717" t="s">
        <v>1748</v>
      </c>
      <c r="E717">
        <v>20000</v>
      </c>
      <c r="F717" t="s">
        <v>1744</v>
      </c>
    </row>
    <row r="718" spans="1:6" customHeight="1" ht="13.8">
      <c r="A718" t="s">
        <v>1749</v>
      </c>
      <c r="B718" t="s">
        <v>1750</v>
      </c>
      <c r="C718" s="1" t="s">
        <v>1751</v>
      </c>
      <c r="D718" t="s">
        <v>1752</v>
      </c>
      <c r="E718">
        <v>22000</v>
      </c>
      <c r="F718" t="s">
        <v>1753</v>
      </c>
    </row>
    <row r="719" spans="1:6" customHeight="1" ht="13.8">
      <c r="A719" t="s">
        <v>1754</v>
      </c>
      <c r="B719" t="s">
        <v>1755</v>
      </c>
      <c r="C719">
        <v>106105883</v>
      </c>
      <c r="D719" t="s">
        <v>1756</v>
      </c>
      <c r="E719">
        <v>22000</v>
      </c>
      <c r="F719" t="s">
        <v>1753</v>
      </c>
    </row>
    <row r="720" spans="1:6" customHeight="1" ht="13.8">
      <c r="A720" t="s">
        <v>1757</v>
      </c>
      <c r="B720" t="s">
        <v>1758</v>
      </c>
      <c r="C720" s="1" t="s">
        <v>1759</v>
      </c>
      <c r="D720" t="s">
        <v>1760</v>
      </c>
      <c r="E720">
        <v>22000</v>
      </c>
      <c r="F720" t="s">
        <v>1753</v>
      </c>
    </row>
    <row r="721" spans="1:6" customHeight="1" ht="13.8">
      <c r="A721" t="s">
        <v>1761</v>
      </c>
      <c r="B721" t="s">
        <v>1762</v>
      </c>
      <c r="C721" s="1" t="s">
        <v>1763</v>
      </c>
      <c r="D721" t="s">
        <v>1764</v>
      </c>
      <c r="E721">
        <v>22000</v>
      </c>
      <c r="F721" t="s">
        <v>1753</v>
      </c>
    </row>
    <row r="722" spans="1:6" customHeight="1" ht="13.8">
      <c r="A722" t="s">
        <v>1765</v>
      </c>
      <c r="B722" t="s">
        <v>1766</v>
      </c>
      <c r="C722" s="1" t="s">
        <v>1767</v>
      </c>
      <c r="D722" t="s">
        <v>1768</v>
      </c>
      <c r="E722">
        <v>22000</v>
      </c>
      <c r="F722" t="s">
        <v>1753</v>
      </c>
    </row>
    <row r="723" spans="1:6" customHeight="1" ht="13.8">
      <c r="A723" t="s">
        <v>1769</v>
      </c>
      <c r="B723" t="s">
        <v>1770</v>
      </c>
      <c r="C723" s="1" t="s">
        <v>1771</v>
      </c>
      <c r="D723" t="s">
        <v>1772</v>
      </c>
      <c r="E723">
        <v>22000</v>
      </c>
      <c r="F723" t="s">
        <v>1753</v>
      </c>
    </row>
    <row r="724" spans="1:6" customHeight="1" ht="13.8">
      <c r="A724" t="s">
        <v>1773</v>
      </c>
      <c r="B724" t="s">
        <v>1774</v>
      </c>
      <c r="C724" s="1" t="s">
        <v>1775</v>
      </c>
      <c r="D724" t="s">
        <v>1776</v>
      </c>
      <c r="E724">
        <v>22000</v>
      </c>
      <c r="F724" t="s">
        <v>1753</v>
      </c>
    </row>
    <row r="725" spans="1:6" customHeight="1" ht="13.8">
      <c r="A725" t="s">
        <v>1777</v>
      </c>
      <c r="B725" t="s">
        <v>1778</v>
      </c>
      <c r="C725" s="1" t="s">
        <v>1779</v>
      </c>
      <c r="D725" t="s">
        <v>1780</v>
      </c>
      <c r="E725">
        <v>22000</v>
      </c>
      <c r="F725" t="s">
        <v>1753</v>
      </c>
    </row>
    <row r="726" spans="1:6" customHeight="1" ht="13.8">
      <c r="A726" t="s">
        <v>1781</v>
      </c>
      <c r="B726" t="s">
        <v>1782</v>
      </c>
      <c r="C726" s="1" t="s">
        <v>1783</v>
      </c>
      <c r="D726" t="s">
        <v>1784</v>
      </c>
      <c r="E726">
        <v>22000</v>
      </c>
      <c r="F726" t="s">
        <v>1753</v>
      </c>
    </row>
    <row r="727" spans="1:6" customHeight="1" ht="13.8">
      <c r="A727" t="s">
        <v>1785</v>
      </c>
      <c r="B727" t="s">
        <v>1786</v>
      </c>
      <c r="C727" s="1" t="s">
        <v>1787</v>
      </c>
      <c r="D727" t="s">
        <v>1788</v>
      </c>
      <c r="E727">
        <v>22000</v>
      </c>
      <c r="F727" t="s">
        <v>1753</v>
      </c>
    </row>
    <row r="728" spans="1:6" customHeight="1" ht="13.8">
      <c r="A728" t="s">
        <v>1789</v>
      </c>
      <c r="B728" t="s">
        <v>1790</v>
      </c>
      <c r="C728" s="1" t="s">
        <v>1791</v>
      </c>
      <c r="D728" t="s">
        <v>1792</v>
      </c>
      <c r="E728">
        <v>22000</v>
      </c>
      <c r="F728" t="s">
        <v>1753</v>
      </c>
    </row>
    <row r="729" spans="1:6" customHeight="1" ht="13.8">
      <c r="A729" t="s">
        <v>1793</v>
      </c>
      <c r="B729" t="s">
        <v>1794</v>
      </c>
      <c r="C729" s="1" t="s">
        <v>1795</v>
      </c>
      <c r="D729" t="s">
        <v>1796</v>
      </c>
      <c r="E729">
        <v>22000</v>
      </c>
      <c r="F729" t="s">
        <v>1753</v>
      </c>
    </row>
    <row r="730" spans="1:6" customHeight="1" ht="13.8">
      <c r="A730" t="s">
        <v>1797</v>
      </c>
      <c r="B730" t="s">
        <v>1798</v>
      </c>
      <c r="C730" s="1" t="s">
        <v>1799</v>
      </c>
      <c r="D730" t="s">
        <v>1800</v>
      </c>
      <c r="E730">
        <v>22000</v>
      </c>
      <c r="F730" t="s">
        <v>1753</v>
      </c>
    </row>
    <row r="731" spans="1:6" customHeight="1" ht="13.8">
      <c r="A731" t="s">
        <v>1801</v>
      </c>
      <c r="B731" t="s">
        <v>1802</v>
      </c>
      <c r="C731" s="1" t="s">
        <v>1803</v>
      </c>
      <c r="D731" t="s">
        <v>1804</v>
      </c>
      <c r="E731">
        <v>22000</v>
      </c>
      <c r="F731" t="s">
        <v>1753</v>
      </c>
    </row>
    <row r="732" spans="1:6" customHeight="1" ht="13.8">
      <c r="A732" t="s">
        <v>1805</v>
      </c>
      <c r="B732" t="s">
        <v>1806</v>
      </c>
      <c r="C732" s="1" t="s">
        <v>1807</v>
      </c>
      <c r="D732" t="s">
        <v>1808</v>
      </c>
      <c r="E732">
        <v>22000</v>
      </c>
      <c r="F732" t="s">
        <v>1753</v>
      </c>
    </row>
    <row r="733" spans="1:6" customHeight="1" ht="13.8">
      <c r="A733" t="s">
        <v>1809</v>
      </c>
      <c r="B733" t="s">
        <v>1810</v>
      </c>
      <c r="C733">
        <v>123645713</v>
      </c>
      <c r="D733" t="s">
        <v>1811</v>
      </c>
      <c r="E733">
        <v>22000</v>
      </c>
      <c r="F733" t="s">
        <v>1753</v>
      </c>
    </row>
    <row r="734" spans="1:6" customHeight="1" ht="13.8">
      <c r="A734" t="s">
        <v>1812</v>
      </c>
      <c r="B734" t="s">
        <v>1813</v>
      </c>
      <c r="C734" s="1" t="s">
        <v>1814</v>
      </c>
      <c r="D734" t="s">
        <v>1815</v>
      </c>
      <c r="E734">
        <v>22000</v>
      </c>
      <c r="F734" t="s">
        <v>1753</v>
      </c>
    </row>
    <row r="735" spans="1:6" customHeight="1" ht="13.8">
      <c r="A735" t="s">
        <v>1816</v>
      </c>
      <c r="B735" t="s">
        <v>1817</v>
      </c>
      <c r="C735" s="1" t="s">
        <v>1818</v>
      </c>
      <c r="D735" t="s">
        <v>1819</v>
      </c>
      <c r="E735">
        <v>22000</v>
      </c>
      <c r="F735" t="s">
        <v>1753</v>
      </c>
    </row>
    <row r="736" spans="1:6" customHeight="1" ht="13.8">
      <c r="A736" t="s">
        <v>1820</v>
      </c>
      <c r="B736" t="s">
        <v>1821</v>
      </c>
      <c r="C736">
        <v>143807627</v>
      </c>
      <c r="D736" t="s">
        <v>834</v>
      </c>
      <c r="E736">
        <v>22000</v>
      </c>
      <c r="F736" t="s">
        <v>1753</v>
      </c>
    </row>
    <row r="737" spans="1:6" customHeight="1" ht="13.8">
      <c r="A737" t="s">
        <v>1822</v>
      </c>
      <c r="B737" t="s">
        <v>1823</v>
      </c>
      <c r="C737" s="1" t="s">
        <v>1824</v>
      </c>
      <c r="D737" t="s">
        <v>1825</v>
      </c>
      <c r="E737">
        <v>22000</v>
      </c>
      <c r="F737" t="s">
        <v>1753</v>
      </c>
    </row>
    <row r="738" spans="1:6" customHeight="1" ht="13.8">
      <c r="A738" t="s">
        <v>1826</v>
      </c>
      <c r="B738" t="s">
        <v>1827</v>
      </c>
      <c r="C738">
        <v>121071101</v>
      </c>
      <c r="D738" t="s">
        <v>1828</v>
      </c>
      <c r="E738">
        <v>22000</v>
      </c>
      <c r="F738" t="s">
        <v>1753</v>
      </c>
    </row>
    <row r="739" spans="1:6" customHeight="1" ht="13.8">
      <c r="A739" t="s">
        <v>1829</v>
      </c>
      <c r="B739" t="s">
        <v>1830</v>
      </c>
      <c r="C739" s="1" t="s">
        <v>1831</v>
      </c>
      <c r="D739" t="s">
        <v>1832</v>
      </c>
      <c r="E739">
        <v>22000</v>
      </c>
      <c r="F739" t="s">
        <v>1753</v>
      </c>
    </row>
    <row r="740" spans="1:6" customHeight="1" ht="13.8">
      <c r="A740" t="s">
        <v>1833</v>
      </c>
      <c r="B740" t="s">
        <v>1518</v>
      </c>
      <c r="C740" s="1" t="s">
        <v>1519</v>
      </c>
      <c r="D740" t="s">
        <v>1834</v>
      </c>
      <c r="E740">
        <v>22000</v>
      </c>
      <c r="F740" t="s">
        <v>1753</v>
      </c>
    </row>
    <row r="741" spans="1:6" customHeight="1" ht="13.8">
      <c r="A741" t="s">
        <v>1835</v>
      </c>
      <c r="B741" t="s">
        <v>1836</v>
      </c>
      <c r="C741" s="1" t="s">
        <v>1837</v>
      </c>
      <c r="D741" t="s">
        <v>526</v>
      </c>
      <c r="E741">
        <v>22000</v>
      </c>
      <c r="F741" t="s">
        <v>1753</v>
      </c>
    </row>
    <row r="742" spans="1:6" customHeight="1" ht="13.8">
      <c r="A742" t="s">
        <v>1838</v>
      </c>
      <c r="B742" t="s">
        <v>1839</v>
      </c>
      <c r="C742" s="1" t="s">
        <v>1840</v>
      </c>
      <c r="D742" t="s">
        <v>1841</v>
      </c>
      <c r="E742">
        <v>22000</v>
      </c>
      <c r="F742" t="s">
        <v>1753</v>
      </c>
    </row>
    <row r="743" spans="1:6" customHeight="1" ht="13.8">
      <c r="A743" t="s">
        <v>1842</v>
      </c>
      <c r="B743" t="s">
        <v>1843</v>
      </c>
      <c r="C743" s="1" t="s">
        <v>1844</v>
      </c>
      <c r="D743" t="s">
        <v>1845</v>
      </c>
      <c r="E743">
        <v>22000</v>
      </c>
      <c r="F743" t="s">
        <v>1753</v>
      </c>
    </row>
    <row r="744" spans="1:6" customHeight="1" ht="13.8">
      <c r="A744" t="s">
        <v>1846</v>
      </c>
      <c r="B744" t="s">
        <v>1847</v>
      </c>
      <c r="C744" s="1" t="s">
        <v>1848</v>
      </c>
      <c r="D744" t="s">
        <v>1849</v>
      </c>
      <c r="E744">
        <v>22000</v>
      </c>
      <c r="F744" t="s">
        <v>1753</v>
      </c>
    </row>
    <row r="745" spans="1:6" customHeight="1" ht="13.8">
      <c r="A745" t="s">
        <v>1850</v>
      </c>
      <c r="B745" t="s">
        <v>106</v>
      </c>
      <c r="C745" s="1" t="s">
        <v>107</v>
      </c>
      <c r="D745" t="s">
        <v>1851</v>
      </c>
      <c r="E745">
        <v>22000</v>
      </c>
      <c r="F745" t="s">
        <v>1753</v>
      </c>
    </row>
    <row r="746" spans="1:6" customHeight="1" ht="13.8">
      <c r="A746" t="s">
        <v>1852</v>
      </c>
      <c r="B746" t="s">
        <v>1853</v>
      </c>
      <c r="C746" s="1" t="s">
        <v>1854</v>
      </c>
      <c r="D746" t="s">
        <v>1855</v>
      </c>
      <c r="E746">
        <v>22000</v>
      </c>
      <c r="F746" t="s">
        <v>1753</v>
      </c>
    </row>
    <row r="747" spans="1:6" customHeight="1" ht="13.8">
      <c r="A747" t="s">
        <v>1856</v>
      </c>
      <c r="B747" t="s">
        <v>1857</v>
      </c>
      <c r="C747">
        <v>110958121</v>
      </c>
      <c r="D747" t="s">
        <v>1858</v>
      </c>
      <c r="E747">
        <v>22000</v>
      </c>
      <c r="F747" t="s">
        <v>1753</v>
      </c>
    </row>
    <row r="748" spans="1:6" customHeight="1" ht="13.8">
      <c r="A748" t="s">
        <v>1859</v>
      </c>
      <c r="B748" t="s">
        <v>1860</v>
      </c>
      <c r="C748" s="1" t="s">
        <v>1861</v>
      </c>
      <c r="D748" t="s">
        <v>1862</v>
      </c>
      <c r="E748">
        <v>22000</v>
      </c>
      <c r="F748" t="s">
        <v>1753</v>
      </c>
    </row>
    <row r="749" spans="1:6" customHeight="1" ht="13.8">
      <c r="A749" t="s">
        <v>1863</v>
      </c>
      <c r="B749" t="s">
        <v>1864</v>
      </c>
      <c r="C749" s="1" t="s">
        <v>1865</v>
      </c>
      <c r="D749" t="s">
        <v>1866</v>
      </c>
      <c r="E749">
        <v>22000</v>
      </c>
      <c r="F749" t="s">
        <v>1753</v>
      </c>
    </row>
    <row r="750" spans="1:6" customHeight="1" ht="13.8">
      <c r="A750" t="s">
        <v>1867</v>
      </c>
      <c r="B750" t="s">
        <v>1868</v>
      </c>
      <c r="C750" s="1" t="s">
        <v>1869</v>
      </c>
      <c r="D750" t="s">
        <v>1870</v>
      </c>
      <c r="E750">
        <v>22000</v>
      </c>
      <c r="F750" t="s">
        <v>1753</v>
      </c>
    </row>
    <row r="751" spans="1:6" customHeight="1" ht="13.8">
      <c r="A751" t="s">
        <v>1871</v>
      </c>
      <c r="B751" t="s">
        <v>1430</v>
      </c>
      <c r="C751" s="1" t="s">
        <v>1431</v>
      </c>
      <c r="D751" t="s">
        <v>1872</v>
      </c>
      <c r="E751">
        <v>22000</v>
      </c>
      <c r="F751" t="s">
        <v>1753</v>
      </c>
    </row>
    <row r="752" spans="1:6" customHeight="1" ht="13.8">
      <c r="A752" t="s">
        <v>1873</v>
      </c>
      <c r="B752" t="s">
        <v>1874</v>
      </c>
      <c r="C752" s="1" t="s">
        <v>1875</v>
      </c>
      <c r="D752" t="s">
        <v>1876</v>
      </c>
      <c r="E752">
        <v>22000</v>
      </c>
      <c r="F752" t="s">
        <v>1753</v>
      </c>
    </row>
    <row r="753" spans="1:6" customHeight="1" ht="13.8">
      <c r="A753" t="s">
        <v>113</v>
      </c>
      <c r="B753" t="s">
        <v>114</v>
      </c>
      <c r="C753" s="1" t="s">
        <v>115</v>
      </c>
      <c r="D753" t="s">
        <v>116</v>
      </c>
      <c r="E753">
        <v>22000</v>
      </c>
      <c r="F753" t="s">
        <v>1753</v>
      </c>
    </row>
    <row r="754" spans="1:6" customHeight="1" ht="13.8">
      <c r="A754" t="s">
        <v>1877</v>
      </c>
      <c r="B754" t="s">
        <v>1878</v>
      </c>
      <c r="C754" s="1" t="s">
        <v>1879</v>
      </c>
      <c r="D754" t="s">
        <v>1880</v>
      </c>
      <c r="E754">
        <v>22000</v>
      </c>
      <c r="F754" t="s">
        <v>1881</v>
      </c>
    </row>
    <row r="755" spans="1:6" customHeight="1" ht="13.8">
      <c r="A755" t="s">
        <v>1882</v>
      </c>
      <c r="B755" t="s">
        <v>1883</v>
      </c>
      <c r="C755" s="1" t="s">
        <v>1884</v>
      </c>
      <c r="D755" t="s">
        <v>1885</v>
      </c>
      <c r="E755">
        <v>26500</v>
      </c>
      <c r="F755" t="s">
        <v>1886</v>
      </c>
    </row>
    <row r="756" spans="1:6" customHeight="1" ht="13.8">
      <c r="A756" t="s">
        <v>15</v>
      </c>
      <c r="B756" t="s">
        <v>16</v>
      </c>
      <c r="C756" s="1" t="s">
        <v>17</v>
      </c>
      <c r="D756" t="s">
        <v>18</v>
      </c>
      <c r="E756">
        <v>18500</v>
      </c>
      <c r="F756" t="s">
        <v>1887</v>
      </c>
    </row>
    <row r="757" spans="1:6" customHeight="1" ht="13.8">
      <c r="A757" t="s">
        <v>1846</v>
      </c>
      <c r="B757" t="s">
        <v>1847</v>
      </c>
      <c r="C757" s="1" t="s">
        <v>1848</v>
      </c>
      <c r="D757" t="s">
        <v>1849</v>
      </c>
      <c r="E757">
        <v>22000</v>
      </c>
      <c r="F757" t="s">
        <v>1888</v>
      </c>
    </row>
    <row r="758" spans="1:6" customHeight="1" ht="13.8">
      <c r="A758" t="s">
        <v>1889</v>
      </c>
      <c r="B758" t="s">
        <v>1890</v>
      </c>
      <c r="C758" s="1" t="s">
        <v>1891</v>
      </c>
      <c r="D758" t="s">
        <v>1892</v>
      </c>
      <c r="E758">
        <v>22000</v>
      </c>
      <c r="F758" t="s">
        <v>1888</v>
      </c>
    </row>
    <row r="759" spans="1:6" customHeight="1" ht="13.8">
      <c r="A759" t="s">
        <v>1805</v>
      </c>
      <c r="B759" t="s">
        <v>1806</v>
      </c>
      <c r="C759" s="1" t="s">
        <v>1807</v>
      </c>
      <c r="D759" t="s">
        <v>1808</v>
      </c>
      <c r="E759">
        <v>22000</v>
      </c>
      <c r="F759" t="s">
        <v>1888</v>
      </c>
    </row>
    <row r="760" spans="1:6" customHeight="1" ht="13.8">
      <c r="A760" t="s">
        <v>1893</v>
      </c>
      <c r="B760" t="s">
        <v>1894</v>
      </c>
      <c r="C760" s="1" t="s">
        <v>1895</v>
      </c>
      <c r="D760" t="s">
        <v>1896</v>
      </c>
      <c r="E760">
        <v>22000</v>
      </c>
      <c r="F760" t="s">
        <v>1888</v>
      </c>
    </row>
    <row r="761" spans="1:6" customHeight="1" ht="13.8">
      <c r="A761" t="s">
        <v>1546</v>
      </c>
      <c r="B761" t="s">
        <v>1547</v>
      </c>
      <c r="C761" s="1" t="s">
        <v>1548</v>
      </c>
      <c r="D761" t="s">
        <v>1549</v>
      </c>
      <c r="E761">
        <v>22000</v>
      </c>
      <c r="F761" t="s">
        <v>1888</v>
      </c>
    </row>
    <row r="762" spans="1:6" customHeight="1" ht="13.8">
      <c r="A762" t="s">
        <v>1897</v>
      </c>
      <c r="B762" t="s">
        <v>1898</v>
      </c>
      <c r="C762" s="1" t="s">
        <v>1899</v>
      </c>
      <c r="D762" t="s">
        <v>1900</v>
      </c>
      <c r="E762">
        <v>22000</v>
      </c>
      <c r="F762" t="s">
        <v>1888</v>
      </c>
    </row>
    <row r="763" spans="1:6" customHeight="1" ht="13.8">
      <c r="A763" t="s">
        <v>238</v>
      </c>
      <c r="B763" t="s">
        <v>239</v>
      </c>
      <c r="C763" s="1" t="s">
        <v>240</v>
      </c>
      <c r="D763" t="s">
        <v>241</v>
      </c>
      <c r="E763">
        <v>15000</v>
      </c>
      <c r="F763" t="s">
        <v>1901</v>
      </c>
    </row>
    <row r="764" spans="1:6" customHeight="1" ht="13.8">
      <c r="A764" t="s">
        <v>1902</v>
      </c>
      <c r="B764" t="s">
        <v>1903</v>
      </c>
      <c r="C764" s="1" t="s">
        <v>1904</v>
      </c>
      <c r="D764" t="s">
        <v>1905</v>
      </c>
      <c r="E764">
        <v>15000</v>
      </c>
      <c r="F764" t="s">
        <v>1901</v>
      </c>
    </row>
    <row r="765" spans="1:6" customHeight="1" ht="13.8">
      <c r="A765" t="s">
        <v>171</v>
      </c>
      <c r="B765" t="s">
        <v>172</v>
      </c>
      <c r="C765" s="1" t="s">
        <v>173</v>
      </c>
      <c r="D765" t="s">
        <v>174</v>
      </c>
      <c r="E765">
        <v>15000</v>
      </c>
      <c r="F765" t="s">
        <v>1901</v>
      </c>
    </row>
    <row r="766" spans="1:6" customHeight="1" ht="13.8">
      <c r="A766" t="s">
        <v>1906</v>
      </c>
      <c r="B766" t="s">
        <v>1907</v>
      </c>
      <c r="C766" s="1" t="s">
        <v>1908</v>
      </c>
      <c r="D766" t="s">
        <v>1909</v>
      </c>
      <c r="E766">
        <v>22000</v>
      </c>
      <c r="F766" t="s">
        <v>1910</v>
      </c>
    </row>
    <row r="767" spans="1:6" customHeight="1" ht="13.8">
      <c r="A767" t="s">
        <v>1911</v>
      </c>
      <c r="B767" t="s">
        <v>1912</v>
      </c>
      <c r="C767">
        <v>116022761</v>
      </c>
      <c r="D767" t="s">
        <v>1913</v>
      </c>
      <c r="E767">
        <v>22000</v>
      </c>
      <c r="F767" t="s">
        <v>1910</v>
      </c>
    </row>
    <row r="768" spans="1:6" customHeight="1" ht="13.8">
      <c r="A768" t="s">
        <v>1914</v>
      </c>
      <c r="B768" t="s">
        <v>1915</v>
      </c>
      <c r="C768">
        <v>128892297</v>
      </c>
      <c r="D768" t="s">
        <v>1916</v>
      </c>
      <c r="E768">
        <v>22000</v>
      </c>
      <c r="F768" t="s">
        <v>1910</v>
      </c>
    </row>
    <row r="769" spans="1:6" customHeight="1" ht="13.8">
      <c r="A769" t="s">
        <v>1859</v>
      </c>
      <c r="B769" t="s">
        <v>1860</v>
      </c>
      <c r="C769" s="1" t="s">
        <v>1861</v>
      </c>
      <c r="D769" t="s">
        <v>1862</v>
      </c>
      <c r="E769">
        <v>22000</v>
      </c>
      <c r="F769" t="s">
        <v>1910</v>
      </c>
    </row>
    <row r="770" spans="1:6" customHeight="1" ht="13.8">
      <c r="A770" t="s">
        <v>234</v>
      </c>
      <c r="B770" t="s">
        <v>235</v>
      </c>
      <c r="C770" s="1" t="s">
        <v>236</v>
      </c>
      <c r="D770" t="s">
        <v>237</v>
      </c>
      <c r="E770">
        <v>22000</v>
      </c>
      <c r="F770" t="s">
        <v>1910</v>
      </c>
    </row>
    <row r="771" spans="1:6" customHeight="1" ht="13.8">
      <c r="A771" t="s">
        <v>1917</v>
      </c>
      <c r="B771" t="s">
        <v>93</v>
      </c>
      <c r="C771" s="1" t="s">
        <v>94</v>
      </c>
      <c r="D771" t="s">
        <v>1918</v>
      </c>
      <c r="E771">
        <v>22000</v>
      </c>
      <c r="F771" t="s">
        <v>1910</v>
      </c>
    </row>
    <row r="772" spans="1:6" customHeight="1" ht="13.8">
      <c r="A772" t="s">
        <v>1919</v>
      </c>
      <c r="B772" t="s">
        <v>1920</v>
      </c>
      <c r="C772" s="1" t="s">
        <v>1921</v>
      </c>
      <c r="D772" t="s">
        <v>1922</v>
      </c>
      <c r="E772">
        <v>22000</v>
      </c>
      <c r="F772" t="s">
        <v>1910</v>
      </c>
    </row>
    <row r="773" spans="1:6" customHeight="1" ht="13.8">
      <c r="A773" t="s">
        <v>1923</v>
      </c>
      <c r="B773" t="s">
        <v>1924</v>
      </c>
      <c r="C773">
        <v>120591666</v>
      </c>
      <c r="D773" t="s">
        <v>1925</v>
      </c>
      <c r="E773">
        <v>22000</v>
      </c>
      <c r="F773" t="s">
        <v>1910</v>
      </c>
    </row>
    <row r="774" spans="1:6" customHeight="1" ht="13.8">
      <c r="A774" t="s">
        <v>1926</v>
      </c>
      <c r="B774" t="s">
        <v>85</v>
      </c>
      <c r="C774" s="1" t="s">
        <v>86</v>
      </c>
      <c r="D774" t="s">
        <v>1927</v>
      </c>
      <c r="E774">
        <v>22000</v>
      </c>
      <c r="F774" t="s">
        <v>1910</v>
      </c>
    </row>
    <row r="775" spans="1:6" customHeight="1" ht="13.8">
      <c r="A775" t="s">
        <v>1928</v>
      </c>
      <c r="B775" t="s">
        <v>1929</v>
      </c>
      <c r="C775" s="1" t="s">
        <v>1930</v>
      </c>
      <c r="D775" t="s">
        <v>1931</v>
      </c>
      <c r="E775">
        <v>22000</v>
      </c>
      <c r="F775" t="s">
        <v>1910</v>
      </c>
    </row>
    <row r="776" spans="1:6" customHeight="1" ht="13.8">
      <c r="A776" t="s">
        <v>1932</v>
      </c>
      <c r="B776" t="s">
        <v>1933</v>
      </c>
      <c r="C776">
        <v>116698852</v>
      </c>
      <c r="D776" t="s">
        <v>1934</v>
      </c>
      <c r="E776">
        <v>22000</v>
      </c>
      <c r="F776" t="s">
        <v>1910</v>
      </c>
    </row>
    <row r="777" spans="1:6" customHeight="1" ht="13.8">
      <c r="A777" t="s">
        <v>1935</v>
      </c>
      <c r="B777" t="s">
        <v>1936</v>
      </c>
      <c r="C777">
        <v>108260315</v>
      </c>
      <c r="D777" t="s">
        <v>1937</v>
      </c>
      <c r="E777">
        <v>83000</v>
      </c>
      <c r="F777" t="s">
        <v>1938</v>
      </c>
    </row>
    <row r="778" spans="1:6" customHeight="1" ht="13.8">
      <c r="A778" t="s">
        <v>28</v>
      </c>
      <c r="B778" t="s">
        <v>29</v>
      </c>
      <c r="C778" s="1" t="s">
        <v>30</v>
      </c>
      <c r="D778" t="s">
        <v>31</v>
      </c>
      <c r="E778">
        <v>17000</v>
      </c>
      <c r="F778" t="s">
        <v>1939</v>
      </c>
    </row>
    <row r="779" spans="1:6" customHeight="1" ht="13.8">
      <c r="A779" t="s">
        <v>1940</v>
      </c>
      <c r="B779" t="s">
        <v>1941</v>
      </c>
      <c r="C779" s="1" t="s">
        <v>1942</v>
      </c>
      <c r="D779" t="s">
        <v>1943</v>
      </c>
      <c r="E779">
        <v>17000</v>
      </c>
      <c r="F779" t="s">
        <v>1939</v>
      </c>
    </row>
    <row r="780" spans="1:6" customHeight="1" ht="13.8">
      <c r="A780" t="s">
        <v>1944</v>
      </c>
      <c r="B780" t="s">
        <v>1945</v>
      </c>
      <c r="C780" s="1" t="s">
        <v>1946</v>
      </c>
      <c r="D780" t="s">
        <v>1947</v>
      </c>
      <c r="E780">
        <v>38000</v>
      </c>
      <c r="F780" t="s">
        <v>1948</v>
      </c>
    </row>
    <row r="781" spans="1:6" customHeight="1" ht="13.8">
      <c r="A781" t="s">
        <v>1949</v>
      </c>
      <c r="B781" t="s">
        <v>1950</v>
      </c>
      <c r="C781">
        <v>112136248</v>
      </c>
      <c r="D781" t="s">
        <v>1951</v>
      </c>
      <c r="E781">
        <v>38000</v>
      </c>
      <c r="F781" t="s">
        <v>1948</v>
      </c>
    </row>
    <row r="782" spans="1:6" customHeight="1" ht="13.8">
      <c r="A782" t="s">
        <v>202</v>
      </c>
      <c r="B782" t="s">
        <v>203</v>
      </c>
      <c r="C782" s="1" t="s">
        <v>204</v>
      </c>
      <c r="D782" t="s">
        <v>205</v>
      </c>
      <c r="E782">
        <v>5000</v>
      </c>
      <c r="F782" t="s">
        <v>1952</v>
      </c>
    </row>
    <row r="783" spans="1:6" customHeight="1" ht="13.8">
      <c r="A783" t="s">
        <v>250</v>
      </c>
      <c r="B783" t="s">
        <v>251</v>
      </c>
      <c r="C783" s="1" t="s">
        <v>252</v>
      </c>
      <c r="D783" t="s">
        <v>253</v>
      </c>
      <c r="E783">
        <v>13000</v>
      </c>
      <c r="F783" t="s">
        <v>1953</v>
      </c>
    </row>
    <row r="784" spans="1:6" customHeight="1" ht="13.8">
      <c r="A784" t="s">
        <v>1954</v>
      </c>
      <c r="B784" t="s">
        <v>1955</v>
      </c>
      <c r="C784" s="1" t="s">
        <v>1956</v>
      </c>
      <c r="D784" t="s">
        <v>1957</v>
      </c>
      <c r="E784">
        <v>18000</v>
      </c>
      <c r="F784" t="s">
        <v>1958</v>
      </c>
    </row>
    <row r="785" spans="1:6" customHeight="1" ht="13.8">
      <c r="A785" t="s">
        <v>1959</v>
      </c>
      <c r="B785" t="s">
        <v>1411</v>
      </c>
      <c r="C785" s="1" t="s">
        <v>1412</v>
      </c>
      <c r="D785" t="s">
        <v>1960</v>
      </c>
      <c r="E785">
        <v>8000</v>
      </c>
      <c r="F785" t="s">
        <v>1961</v>
      </c>
    </row>
    <row r="786" spans="1:6" customHeight="1" ht="13.8">
      <c r="A786" t="s">
        <v>1962</v>
      </c>
      <c r="B786" t="s">
        <v>1963</v>
      </c>
      <c r="C786">
        <v>110211516</v>
      </c>
      <c r="D786" t="s">
        <v>1964</v>
      </c>
      <c r="E786">
        <v>10000</v>
      </c>
      <c r="F786" t="s">
        <v>1965</v>
      </c>
    </row>
    <row r="787" spans="1:6" customHeight="1" ht="13.8">
      <c r="A787" t="s">
        <v>1966</v>
      </c>
      <c r="B787" t="s">
        <v>1963</v>
      </c>
      <c r="C787">
        <v>110211516</v>
      </c>
      <c r="D787" t="s">
        <v>1964</v>
      </c>
      <c r="E787">
        <v>-10000</v>
      </c>
      <c r="F787" t="s">
        <v>1965</v>
      </c>
    </row>
    <row r="788" spans="1:6" customHeight="1" ht="13.8">
      <c r="A788" t="s">
        <v>1967</v>
      </c>
      <c r="B788" t="s">
        <v>1968</v>
      </c>
      <c r="C788" s="1" t="s">
        <v>1969</v>
      </c>
      <c r="D788" t="s">
        <v>1970</v>
      </c>
      <c r="E788">
        <v>15000</v>
      </c>
      <c r="F788" t="s">
        <v>1971</v>
      </c>
    </row>
    <row r="789" spans="1:6" customHeight="1" ht="13.8">
      <c r="A789" t="s">
        <v>1537</v>
      </c>
      <c r="B789" t="s">
        <v>1538</v>
      </c>
      <c r="C789" s="1" t="s">
        <v>1539</v>
      </c>
      <c r="D789" t="s">
        <v>1540</v>
      </c>
      <c r="E789">
        <v>5000</v>
      </c>
      <c r="F789" t="s">
        <v>1972</v>
      </c>
    </row>
    <row r="790" spans="1:6" customHeight="1" ht="13.8">
      <c r="A790" t="s">
        <v>1973</v>
      </c>
      <c r="B790" t="s">
        <v>1974</v>
      </c>
      <c r="C790" s="1" t="s">
        <v>1975</v>
      </c>
      <c r="D790" t="s">
        <v>1976</v>
      </c>
      <c r="E790">
        <v>20000</v>
      </c>
      <c r="F790" t="s">
        <v>1977</v>
      </c>
    </row>
    <row r="791" spans="1:6" customHeight="1" ht="13.8">
      <c r="A791" t="s">
        <v>1978</v>
      </c>
      <c r="B791" t="s">
        <v>1979</v>
      </c>
      <c r="C791" s="1" t="s">
        <v>1980</v>
      </c>
      <c r="D791" t="s">
        <v>1981</v>
      </c>
      <c r="E791">
        <v>22000</v>
      </c>
      <c r="F791" t="s">
        <v>1982</v>
      </c>
    </row>
    <row r="792" spans="1:6" customHeight="1" ht="13.8">
      <c r="A792" t="s">
        <v>1983</v>
      </c>
      <c r="B792" t="s">
        <v>1984</v>
      </c>
      <c r="C792">
        <v>121173834</v>
      </c>
      <c r="D792" t="s">
        <v>1985</v>
      </c>
      <c r="E792">
        <v>22000</v>
      </c>
      <c r="F792" t="s">
        <v>1982</v>
      </c>
    </row>
    <row r="793" spans="1:6" customHeight="1" ht="13.8">
      <c r="A793" t="s">
        <v>341</v>
      </c>
      <c r="B793" t="s">
        <v>342</v>
      </c>
      <c r="C793" s="1" t="s">
        <v>343</v>
      </c>
      <c r="D793" t="s">
        <v>344</v>
      </c>
      <c r="E793">
        <v>5500</v>
      </c>
      <c r="F793" t="s">
        <v>1986</v>
      </c>
    </row>
    <row r="794" spans="1:6" customHeight="1" ht="13.8">
      <c r="A794" t="s">
        <v>92</v>
      </c>
      <c r="B794" t="s">
        <v>93</v>
      </c>
      <c r="C794" s="1" t="s">
        <v>94</v>
      </c>
      <c r="D794" t="s">
        <v>95</v>
      </c>
      <c r="E794">
        <v>5500</v>
      </c>
      <c r="F794" t="s">
        <v>1986</v>
      </c>
    </row>
    <row r="795" spans="1:6" customHeight="1" ht="13.8">
      <c r="A795" t="s">
        <v>28</v>
      </c>
      <c r="B795" t="s">
        <v>29</v>
      </c>
      <c r="C795" s="1" t="s">
        <v>30</v>
      </c>
      <c r="D795" t="s">
        <v>31</v>
      </c>
      <c r="E795">
        <v>5500</v>
      </c>
      <c r="F795" t="s">
        <v>1986</v>
      </c>
    </row>
    <row r="796" spans="1:6" customHeight="1" ht="13.8">
      <c r="A796" t="s">
        <v>1632</v>
      </c>
      <c r="B796" t="s">
        <v>1633</v>
      </c>
      <c r="C796">
        <v>118453682</v>
      </c>
      <c r="D796" t="s">
        <v>1634</v>
      </c>
      <c r="E796">
        <v>5500</v>
      </c>
      <c r="F796" t="s">
        <v>1986</v>
      </c>
    </row>
    <row r="797" spans="1:6" customHeight="1" ht="13.8">
      <c r="A797" t="s">
        <v>336</v>
      </c>
      <c r="B797" t="s">
        <v>337</v>
      </c>
      <c r="C797" s="1" t="s">
        <v>338</v>
      </c>
      <c r="D797" t="s">
        <v>339</v>
      </c>
      <c r="E797">
        <v>5500</v>
      </c>
      <c r="F797" t="s">
        <v>1986</v>
      </c>
    </row>
    <row r="798" spans="1:6" customHeight="1" ht="13.8">
      <c r="A798" t="s">
        <v>1987</v>
      </c>
      <c r="B798" t="s">
        <v>1988</v>
      </c>
      <c r="C798">
        <v>110180173</v>
      </c>
      <c r="D798" t="s">
        <v>1989</v>
      </c>
      <c r="E798">
        <v>11500</v>
      </c>
      <c r="F798" t="s">
        <v>1990</v>
      </c>
    </row>
    <row r="799" spans="1:6" customHeight="1" ht="13.8">
      <c r="A799" t="s">
        <v>1991</v>
      </c>
      <c r="B799" t="s">
        <v>1992</v>
      </c>
      <c r="C799">
        <v>114121662</v>
      </c>
      <c r="D799" t="s">
        <v>1993</v>
      </c>
      <c r="E799">
        <v>11500</v>
      </c>
      <c r="F799" t="s">
        <v>1990</v>
      </c>
    </row>
    <row r="800" spans="1:6" customHeight="1" ht="13.8">
      <c r="A800" t="s">
        <v>1994</v>
      </c>
      <c r="B800" t="s">
        <v>1995</v>
      </c>
      <c r="C800" s="1" t="s">
        <v>1996</v>
      </c>
      <c r="D800" t="s">
        <v>1997</v>
      </c>
      <c r="E800">
        <v>11500</v>
      </c>
      <c r="F800" t="s">
        <v>1990</v>
      </c>
    </row>
    <row r="801" spans="1:6" customHeight="1" ht="13.8">
      <c r="A801" t="s">
        <v>28</v>
      </c>
      <c r="B801" t="s">
        <v>29</v>
      </c>
      <c r="C801" s="1" t="s">
        <v>30</v>
      </c>
      <c r="D801" t="s">
        <v>31</v>
      </c>
      <c r="E801">
        <v>11000</v>
      </c>
      <c r="F801" t="s">
        <v>1998</v>
      </c>
    </row>
    <row r="802" spans="1:6" customHeight="1" ht="13.8">
      <c r="A802" t="s">
        <v>1999</v>
      </c>
      <c r="B802" t="s">
        <v>2000</v>
      </c>
      <c r="C802">
        <v>137688069</v>
      </c>
      <c r="D802" t="s">
        <v>2001</v>
      </c>
      <c r="E802">
        <v>11000</v>
      </c>
      <c r="F802" t="s">
        <v>1998</v>
      </c>
    </row>
    <row r="803" spans="1:6" customHeight="1" ht="13.8">
      <c r="A803" t="s">
        <v>2002</v>
      </c>
      <c r="B803" t="s">
        <v>2003</v>
      </c>
      <c r="C803" s="1" t="s">
        <v>2004</v>
      </c>
      <c r="D803" t="s">
        <v>2005</v>
      </c>
      <c r="E803">
        <v>11000</v>
      </c>
      <c r="F803" t="s">
        <v>1998</v>
      </c>
    </row>
    <row r="804" spans="1:6" customHeight="1" ht="13.8">
      <c r="A804" t="s">
        <v>1404</v>
      </c>
      <c r="B804" t="s">
        <v>1396</v>
      </c>
      <c r="C804" s="1" t="s">
        <v>1397</v>
      </c>
      <c r="D804" t="s">
        <v>1405</v>
      </c>
      <c r="E804">
        <v>11000</v>
      </c>
      <c r="F804" t="s">
        <v>1998</v>
      </c>
    </row>
    <row r="805" spans="1:6" customHeight="1" ht="13.8">
      <c r="A805" t="s">
        <v>1403</v>
      </c>
      <c r="B805" t="s">
        <v>1396</v>
      </c>
      <c r="C805" s="1" t="s">
        <v>1397</v>
      </c>
      <c r="D805" t="s">
        <v>170</v>
      </c>
      <c r="E805">
        <v>11000</v>
      </c>
      <c r="F805" t="s">
        <v>1998</v>
      </c>
    </row>
    <row r="806" spans="1:6" customHeight="1" ht="13.8">
      <c r="A806" t="s">
        <v>1395</v>
      </c>
      <c r="B806" t="s">
        <v>1396</v>
      </c>
      <c r="C806" s="1" t="s">
        <v>1397</v>
      </c>
      <c r="D806" t="s">
        <v>1398</v>
      </c>
      <c r="E806">
        <v>-11000</v>
      </c>
      <c r="F806" t="s">
        <v>1998</v>
      </c>
    </row>
    <row r="807" spans="1:6" customHeight="1" ht="13.8">
      <c r="A807" t="s">
        <v>32</v>
      </c>
      <c r="B807" t="s">
        <v>33</v>
      </c>
      <c r="D807" t="s">
        <v>34</v>
      </c>
      <c r="E807">
        <v>500</v>
      </c>
      <c r="F807" t="s">
        <v>2006</v>
      </c>
    </row>
    <row r="808" spans="1:6" customHeight="1" ht="13.8">
      <c r="A808" t="s">
        <v>23</v>
      </c>
      <c r="B808" t="s">
        <v>24</v>
      </c>
      <c r="C808" s="1" t="s">
        <v>25</v>
      </c>
      <c r="D808" t="s">
        <v>26</v>
      </c>
      <c r="E808">
        <v>500</v>
      </c>
      <c r="F808" t="s">
        <v>2006</v>
      </c>
    </row>
    <row r="809" spans="1:6" customHeight="1" ht="13.8">
      <c r="A809" t="s">
        <v>147</v>
      </c>
      <c r="B809" t="s">
        <v>148</v>
      </c>
      <c r="C809" s="1" t="s">
        <v>149</v>
      </c>
      <c r="D809" t="s">
        <v>150</v>
      </c>
      <c r="E809">
        <v>12000</v>
      </c>
      <c r="F809" t="s">
        <v>2007</v>
      </c>
    </row>
    <row r="810" spans="1:6" customHeight="1" ht="13.8">
      <c r="A810" t="s">
        <v>2008</v>
      </c>
      <c r="B810" t="s">
        <v>2009</v>
      </c>
      <c r="C810" s="1" t="s">
        <v>2010</v>
      </c>
      <c r="D810" t="s">
        <v>2011</v>
      </c>
      <c r="E810">
        <v>5000</v>
      </c>
      <c r="F810" t="s">
        <v>2012</v>
      </c>
    </row>
    <row r="811" spans="1:6" customHeight="1" ht="13.8">
      <c r="A811" t="s">
        <v>1676</v>
      </c>
      <c r="B811" t="s">
        <v>1677</v>
      </c>
      <c r="C811" s="1" t="s">
        <v>1678</v>
      </c>
      <c r="D811" t="s">
        <v>1679</v>
      </c>
      <c r="E811">
        <v>12000</v>
      </c>
      <c r="F811" t="s">
        <v>2013</v>
      </c>
    </row>
    <row r="812" spans="1:6" customHeight="1" ht="13.8">
      <c r="A812" t="s">
        <v>2014</v>
      </c>
      <c r="B812" t="s">
        <v>2015</v>
      </c>
      <c r="C812" s="1" t="s">
        <v>2016</v>
      </c>
      <c r="D812" t="s">
        <v>2017</v>
      </c>
      <c r="E812">
        <v>260000</v>
      </c>
      <c r="F812" t="s">
        <v>2018</v>
      </c>
    </row>
    <row r="813" spans="1:6" customHeight="1" ht="13.8">
      <c r="A813" t="s">
        <v>2019</v>
      </c>
      <c r="B813" t="s">
        <v>2020</v>
      </c>
      <c r="C813" s="1" t="s">
        <v>2021</v>
      </c>
      <c r="D813" t="s">
        <v>2022</v>
      </c>
      <c r="E813">
        <v>260000</v>
      </c>
      <c r="F813" t="s">
        <v>2018</v>
      </c>
    </row>
    <row r="814" spans="1:6" customHeight="1" ht="13.8">
      <c r="A814" t="s">
        <v>2023</v>
      </c>
      <c r="B814" t="s">
        <v>2024</v>
      </c>
      <c r="C814" s="1" t="s">
        <v>2025</v>
      </c>
      <c r="D814" t="s">
        <v>2026</v>
      </c>
      <c r="E814">
        <v>260000</v>
      </c>
      <c r="F814" t="s">
        <v>2018</v>
      </c>
    </row>
    <row r="815" spans="1:6" customHeight="1" ht="13.8">
      <c r="A815" t="s">
        <v>2027</v>
      </c>
      <c r="B815" t="s">
        <v>2028</v>
      </c>
      <c r="C815" s="1" t="s">
        <v>2029</v>
      </c>
      <c r="D815" t="s">
        <v>2030</v>
      </c>
      <c r="E815">
        <v>260000</v>
      </c>
      <c r="F815" t="s">
        <v>2018</v>
      </c>
    </row>
    <row r="816" spans="1:6" customHeight="1" ht="13.8">
      <c r="A816" t="s">
        <v>280</v>
      </c>
      <c r="B816" t="s">
        <v>281</v>
      </c>
      <c r="C816" s="1" t="s">
        <v>282</v>
      </c>
      <c r="D816" t="s">
        <v>283</v>
      </c>
      <c r="E816">
        <v>260000</v>
      </c>
      <c r="F816" t="s">
        <v>2018</v>
      </c>
    </row>
    <row r="817" spans="1:6" customHeight="1" ht="13.8">
      <c r="A817" t="s">
        <v>2031</v>
      </c>
      <c r="B817" t="s">
        <v>2032</v>
      </c>
      <c r="C817" s="1" t="s">
        <v>2033</v>
      </c>
      <c r="D817" t="s">
        <v>2034</v>
      </c>
      <c r="E817">
        <v>260000</v>
      </c>
      <c r="F817" t="s">
        <v>2018</v>
      </c>
    </row>
    <row r="818" spans="1:6" customHeight="1" ht="13.8">
      <c r="A818" t="s">
        <v>2035</v>
      </c>
      <c r="B818" t="s">
        <v>2036</v>
      </c>
      <c r="C818">
        <v>103831327</v>
      </c>
      <c r="D818" t="s">
        <v>2037</v>
      </c>
      <c r="E818">
        <v>11500</v>
      </c>
      <c r="F818" t="s">
        <v>2038</v>
      </c>
    </row>
    <row r="819" spans="1:6" customHeight="1" ht="13.8">
      <c r="A819" t="s">
        <v>44</v>
      </c>
      <c r="B819" t="s">
        <v>45</v>
      </c>
      <c r="C819" s="1" t="s">
        <v>46</v>
      </c>
      <c r="D819" t="s">
        <v>47</v>
      </c>
      <c r="E819">
        <v>6000</v>
      </c>
      <c r="F819" t="s">
        <v>2039</v>
      </c>
    </row>
    <row r="820" spans="1:6" customHeight="1" ht="13.8">
      <c r="A820" t="s">
        <v>92</v>
      </c>
      <c r="B820" t="s">
        <v>93</v>
      </c>
      <c r="C820" s="1" t="s">
        <v>94</v>
      </c>
      <c r="D820" t="s">
        <v>95</v>
      </c>
      <c r="E820">
        <v>6000</v>
      </c>
      <c r="F820" t="s">
        <v>2039</v>
      </c>
    </row>
    <row r="821" spans="1:6" customHeight="1" ht="13.8">
      <c r="A821" t="s">
        <v>28</v>
      </c>
      <c r="B821" t="s">
        <v>29</v>
      </c>
      <c r="C821" s="1" t="s">
        <v>30</v>
      </c>
      <c r="D821" t="s">
        <v>31</v>
      </c>
      <c r="E821">
        <v>6000</v>
      </c>
      <c r="F821" t="s">
        <v>2039</v>
      </c>
    </row>
    <row r="822" spans="1:6" customHeight="1" ht="13.8">
      <c r="A822" t="s">
        <v>341</v>
      </c>
      <c r="B822" t="s">
        <v>342</v>
      </c>
      <c r="C822" s="1" t="s">
        <v>343</v>
      </c>
      <c r="D822" t="s">
        <v>344</v>
      </c>
      <c r="E822">
        <v>6000</v>
      </c>
      <c r="F822" t="s">
        <v>2039</v>
      </c>
    </row>
    <row r="823" spans="1:6" customHeight="1" ht="13.8">
      <c r="A823" t="s">
        <v>336</v>
      </c>
      <c r="B823" t="s">
        <v>337</v>
      </c>
      <c r="C823" s="1" t="s">
        <v>338</v>
      </c>
      <c r="D823" t="s">
        <v>339</v>
      </c>
      <c r="E823">
        <v>6000</v>
      </c>
      <c r="F823" t="s">
        <v>2039</v>
      </c>
    </row>
    <row r="824" spans="1:6" customHeight="1" ht="13.8">
      <c r="A824" t="s">
        <v>202</v>
      </c>
      <c r="B824" t="s">
        <v>203</v>
      </c>
      <c r="C824" s="1" t="s">
        <v>204</v>
      </c>
      <c r="D824" t="s">
        <v>205</v>
      </c>
      <c r="E824">
        <v>6000</v>
      </c>
      <c r="F824" t="s">
        <v>2039</v>
      </c>
    </row>
    <row r="825" spans="1:6" customHeight="1" ht="13.8">
      <c r="A825" t="s">
        <v>2040</v>
      </c>
      <c r="B825" t="s">
        <v>2041</v>
      </c>
      <c r="C825">
        <v>150275307</v>
      </c>
      <c r="D825" t="s">
        <v>2042</v>
      </c>
      <c r="E825">
        <v>24000</v>
      </c>
      <c r="F825" t="s">
        <v>2043</v>
      </c>
    </row>
    <row r="826" spans="1:6" customHeight="1" ht="13.8">
      <c r="A826" t="s">
        <v>2044</v>
      </c>
      <c r="B826" t="s">
        <v>2045</v>
      </c>
      <c r="C826" s="1" t="s">
        <v>2046</v>
      </c>
      <c r="D826" t="s">
        <v>34</v>
      </c>
      <c r="E826">
        <v>14000</v>
      </c>
      <c r="F826" t="s">
        <v>2047</v>
      </c>
    </row>
    <row r="827" spans="1:6" customHeight="1" ht="13.8">
      <c r="A827" t="s">
        <v>2048</v>
      </c>
      <c r="B827" t="s">
        <v>2049</v>
      </c>
      <c r="C827" s="1" t="s">
        <v>2050</v>
      </c>
      <c r="D827" t="s">
        <v>2051</v>
      </c>
      <c r="E827">
        <v>14000</v>
      </c>
      <c r="F827" t="s">
        <v>2047</v>
      </c>
    </row>
    <row r="828" spans="1:6" customHeight="1" ht="13.8">
      <c r="A828" t="s">
        <v>1486</v>
      </c>
      <c r="B828" t="s">
        <v>1487</v>
      </c>
      <c r="C828" s="1" t="s">
        <v>1488</v>
      </c>
      <c r="D828" t="s">
        <v>1489</v>
      </c>
      <c r="E828">
        <v>1500</v>
      </c>
      <c r="F828" t="s">
        <v>2052</v>
      </c>
    </row>
    <row r="829" spans="1:6" customHeight="1" ht="13.8">
      <c r="A829" t="s">
        <v>1474</v>
      </c>
      <c r="B829" t="s">
        <v>1475</v>
      </c>
      <c r="C829" s="1" t="s">
        <v>1476</v>
      </c>
      <c r="D829" t="s">
        <v>1477</v>
      </c>
      <c r="E829">
        <v>1500</v>
      </c>
      <c r="F829" t="s">
        <v>2052</v>
      </c>
    </row>
    <row r="830" spans="1:6" customHeight="1" ht="13.8">
      <c r="A830" t="s">
        <v>1479</v>
      </c>
      <c r="B830" t="s">
        <v>1480</v>
      </c>
      <c r="C830" s="1" t="s">
        <v>1481</v>
      </c>
      <c r="D830" t="s">
        <v>1482</v>
      </c>
      <c r="E830">
        <v>1500</v>
      </c>
      <c r="F830" t="s">
        <v>2052</v>
      </c>
    </row>
    <row r="831" spans="1:6" customHeight="1" ht="13.8">
      <c r="A831" t="s">
        <v>288</v>
      </c>
      <c r="B831" t="s">
        <v>289</v>
      </c>
      <c r="C831">
        <v>102843716</v>
      </c>
      <c r="D831" t="s">
        <v>290</v>
      </c>
      <c r="E831">
        <v>500</v>
      </c>
      <c r="F831" t="s">
        <v>2053</v>
      </c>
    </row>
    <row r="832" spans="1:6" customHeight="1" ht="13.8">
      <c r="A832" t="s">
        <v>101</v>
      </c>
      <c r="B832" t="s">
        <v>102</v>
      </c>
      <c r="C832">
        <v>105841072</v>
      </c>
      <c r="D832" t="s">
        <v>103</v>
      </c>
      <c r="E832">
        <v>500</v>
      </c>
      <c r="F832" t="s">
        <v>2053</v>
      </c>
    </row>
    <row r="833" spans="1:6" customHeight="1" ht="13.8">
      <c r="A833" t="s">
        <v>97</v>
      </c>
      <c r="B833" t="s">
        <v>98</v>
      </c>
      <c r="C833">
        <v>138671170</v>
      </c>
      <c r="D833" t="s">
        <v>99</v>
      </c>
      <c r="E833">
        <v>500</v>
      </c>
      <c r="F833" t="s">
        <v>2053</v>
      </c>
    </row>
    <row r="834" spans="1:6" customHeight="1" ht="13.8">
      <c r="A834" t="s">
        <v>300</v>
      </c>
      <c r="B834" t="s">
        <v>301</v>
      </c>
      <c r="C834" s="1" t="s">
        <v>302</v>
      </c>
      <c r="D834" t="s">
        <v>303</v>
      </c>
      <c r="E834">
        <v>500</v>
      </c>
      <c r="F834" t="s">
        <v>2053</v>
      </c>
    </row>
    <row r="835" spans="1:6" customHeight="1" ht="13.8">
      <c r="A835" t="s">
        <v>101</v>
      </c>
      <c r="B835" t="s">
        <v>102</v>
      </c>
      <c r="C835">
        <v>105841072</v>
      </c>
      <c r="D835" t="s">
        <v>103</v>
      </c>
      <c r="E835">
        <v>500</v>
      </c>
      <c r="F835" t="s">
        <v>2054</v>
      </c>
    </row>
    <row r="836" spans="1:6" customHeight="1" ht="13.8">
      <c r="A836" t="s">
        <v>23</v>
      </c>
      <c r="B836" t="s">
        <v>24</v>
      </c>
      <c r="C836" s="1" t="s">
        <v>25</v>
      </c>
      <c r="D836" t="s">
        <v>26</v>
      </c>
      <c r="E836">
        <v>500</v>
      </c>
      <c r="F836" t="s">
        <v>2054</v>
      </c>
    </row>
    <row r="837" spans="1:6" customHeight="1" ht="13.8">
      <c r="A837" t="s">
        <v>109</v>
      </c>
      <c r="B837" t="s">
        <v>110</v>
      </c>
      <c r="C837" s="1" t="s">
        <v>111</v>
      </c>
      <c r="D837" t="s">
        <v>112</v>
      </c>
      <c r="E837">
        <v>500</v>
      </c>
      <c r="F837" t="s">
        <v>2054</v>
      </c>
    </row>
    <row r="838" spans="1:6" customHeight="1" ht="13.8">
      <c r="A838" t="s">
        <v>105</v>
      </c>
      <c r="B838" t="s">
        <v>106</v>
      </c>
      <c r="C838" s="1" t="s">
        <v>107</v>
      </c>
      <c r="D838" t="s">
        <v>108</v>
      </c>
      <c r="E838">
        <v>500</v>
      </c>
      <c r="F838" t="s">
        <v>2054</v>
      </c>
    </row>
    <row r="839" spans="1:6" customHeight="1" ht="13.8">
      <c r="A839" t="s">
        <v>155</v>
      </c>
      <c r="B839" t="s">
        <v>156</v>
      </c>
      <c r="C839" s="1" t="s">
        <v>157</v>
      </c>
      <c r="D839" t="s">
        <v>158</v>
      </c>
      <c r="E839">
        <v>25000</v>
      </c>
      <c r="F839" t="s">
        <v>2055</v>
      </c>
    </row>
    <row r="840" spans="1:6" customHeight="1" ht="13.8">
      <c r="A840" t="s">
        <v>2056</v>
      </c>
      <c r="B840" t="s">
        <v>2057</v>
      </c>
      <c r="C840" s="1" t="s">
        <v>2058</v>
      </c>
      <c r="D840" t="s">
        <v>2059</v>
      </c>
      <c r="E840">
        <v>25000</v>
      </c>
      <c r="F840" t="s">
        <v>2055</v>
      </c>
    </row>
    <row r="841" spans="1:6" customHeight="1" ht="13.8">
      <c r="A841" t="s">
        <v>2060</v>
      </c>
      <c r="B841" t="s">
        <v>2061</v>
      </c>
      <c r="C841" s="1" t="s">
        <v>2062</v>
      </c>
      <c r="D841" t="s">
        <v>2063</v>
      </c>
      <c r="E841">
        <v>25000</v>
      </c>
      <c r="F841" t="s">
        <v>2055</v>
      </c>
    </row>
    <row r="842" spans="1:6" customHeight="1" ht="13.8">
      <c r="A842" t="s">
        <v>2064</v>
      </c>
      <c r="B842" t="s">
        <v>2065</v>
      </c>
      <c r="D842" t="s">
        <v>2066</v>
      </c>
      <c r="E842">
        <v>26500</v>
      </c>
      <c r="F842" t="s">
        <v>2067</v>
      </c>
    </row>
    <row r="843" spans="1:6" customHeight="1" ht="13.8">
      <c r="A843" t="s">
        <v>1797</v>
      </c>
      <c r="B843" t="s">
        <v>1798</v>
      </c>
      <c r="C843" s="1" t="s">
        <v>1799</v>
      </c>
      <c r="D843" t="s">
        <v>1800</v>
      </c>
      <c r="E843">
        <v>26500</v>
      </c>
      <c r="F843" t="s">
        <v>2067</v>
      </c>
    </row>
    <row r="844" spans="1:6" customHeight="1" ht="13.8">
      <c r="A844" t="s">
        <v>698</v>
      </c>
      <c r="B844" t="s">
        <v>699</v>
      </c>
      <c r="C844" s="1" t="s">
        <v>700</v>
      </c>
      <c r="D844" t="s">
        <v>701</v>
      </c>
      <c r="E844">
        <v>26500</v>
      </c>
      <c r="F844" t="s">
        <v>2067</v>
      </c>
    </row>
    <row r="845" spans="1:6" customHeight="1" ht="13.8">
      <c r="A845" t="s">
        <v>2068</v>
      </c>
      <c r="B845" t="s">
        <v>2069</v>
      </c>
      <c r="C845" s="1" t="s">
        <v>2070</v>
      </c>
      <c r="D845" t="s">
        <v>2071</v>
      </c>
      <c r="E845">
        <v>26500</v>
      </c>
      <c r="F845" t="s">
        <v>2067</v>
      </c>
    </row>
    <row r="846" spans="1:6" customHeight="1" ht="13.8">
      <c r="A846" t="s">
        <v>2072</v>
      </c>
      <c r="B846" t="s">
        <v>2073</v>
      </c>
      <c r="C846">
        <v>121533115</v>
      </c>
      <c r="D846" t="s">
        <v>2074</v>
      </c>
      <c r="E846">
        <v>26500</v>
      </c>
      <c r="F846" t="s">
        <v>2067</v>
      </c>
    </row>
    <row r="847" spans="1:6" customHeight="1" ht="13.8">
      <c r="A847" t="s">
        <v>1486</v>
      </c>
      <c r="B847" t="s">
        <v>1487</v>
      </c>
      <c r="C847" s="1" t="s">
        <v>1488</v>
      </c>
      <c r="D847" t="s">
        <v>1489</v>
      </c>
      <c r="E847">
        <v>9000</v>
      </c>
      <c r="F847" t="s">
        <v>2075</v>
      </c>
    </row>
    <row r="848" spans="1:6" customHeight="1" ht="13.8">
      <c r="A848" t="s">
        <v>1479</v>
      </c>
      <c r="B848" t="s">
        <v>1480</v>
      </c>
      <c r="C848" s="1" t="s">
        <v>1481</v>
      </c>
      <c r="D848" t="s">
        <v>1482</v>
      </c>
      <c r="E848">
        <v>9000</v>
      </c>
      <c r="F848" t="s">
        <v>2075</v>
      </c>
    </row>
    <row r="849" spans="1:6" customHeight="1" ht="13.8">
      <c r="A849" t="s">
        <v>1474</v>
      </c>
      <c r="B849" t="s">
        <v>1475</v>
      </c>
      <c r="C849" s="1" t="s">
        <v>1476</v>
      </c>
      <c r="D849" t="s">
        <v>1477</v>
      </c>
      <c r="E849">
        <v>9000</v>
      </c>
      <c r="F849" t="s">
        <v>2075</v>
      </c>
    </row>
    <row r="850" spans="1:6" customHeight="1" ht="13.8">
      <c r="A850" t="s">
        <v>109</v>
      </c>
      <c r="B850" t="s">
        <v>110</v>
      </c>
      <c r="C850" s="1" t="s">
        <v>111</v>
      </c>
      <c r="D850" t="s">
        <v>112</v>
      </c>
      <c r="E850">
        <v>2500</v>
      </c>
      <c r="F850" t="s">
        <v>2076</v>
      </c>
    </row>
    <row r="851" spans="1:6" customHeight="1" ht="13.8">
      <c r="A851" t="s">
        <v>1464</v>
      </c>
      <c r="B851" t="s">
        <v>1465</v>
      </c>
      <c r="C851" s="1" t="s">
        <v>1466</v>
      </c>
      <c r="D851" t="s">
        <v>1467</v>
      </c>
      <c r="E851">
        <v>2500</v>
      </c>
      <c r="F851" t="s">
        <v>2076</v>
      </c>
    </row>
    <row r="852" spans="1:6" customHeight="1" ht="13.8">
      <c r="A852" t="s">
        <v>2077</v>
      </c>
      <c r="B852" t="s">
        <v>2078</v>
      </c>
      <c r="C852" s="1" t="s">
        <v>2079</v>
      </c>
      <c r="D852" t="s">
        <v>2080</v>
      </c>
      <c r="E852">
        <v>2500</v>
      </c>
      <c r="F852" t="s">
        <v>2076</v>
      </c>
    </row>
    <row r="853" spans="1:6" customHeight="1" ht="13.8">
      <c r="A853" t="s">
        <v>97</v>
      </c>
      <c r="B853" t="s">
        <v>98</v>
      </c>
      <c r="C853">
        <v>138671170</v>
      </c>
      <c r="D853" t="s">
        <v>99</v>
      </c>
      <c r="E853">
        <v>2500</v>
      </c>
      <c r="F853" t="s">
        <v>2076</v>
      </c>
    </row>
    <row r="854" spans="1:6" customHeight="1" ht="13.8">
      <c r="A854" t="s">
        <v>101</v>
      </c>
      <c r="B854" t="s">
        <v>102</v>
      </c>
      <c r="C854">
        <v>105841072</v>
      </c>
      <c r="D854" t="s">
        <v>103</v>
      </c>
      <c r="E854">
        <v>2500</v>
      </c>
      <c r="F854" t="s">
        <v>2076</v>
      </c>
    </row>
    <row r="855" spans="1:6" customHeight="1" ht="13.8">
      <c r="A855" t="s">
        <v>2081</v>
      </c>
      <c r="B855" t="s">
        <v>2082</v>
      </c>
      <c r="C855" s="1" t="s">
        <v>2083</v>
      </c>
      <c r="D855" t="s">
        <v>2084</v>
      </c>
      <c r="E855">
        <v>2500</v>
      </c>
      <c r="F855" t="s">
        <v>2076</v>
      </c>
    </row>
    <row r="856" spans="1:6" customHeight="1" ht="13.8">
      <c r="A856" t="s">
        <v>194</v>
      </c>
      <c r="B856" t="s">
        <v>195</v>
      </c>
      <c r="C856">
        <v>121397629</v>
      </c>
      <c r="D856" t="s">
        <v>196</v>
      </c>
      <c r="E856">
        <v>2500</v>
      </c>
      <c r="F856" t="s">
        <v>2076</v>
      </c>
    </row>
    <row r="857" spans="1:6" customHeight="1" ht="13.8">
      <c r="A857" t="s">
        <v>2085</v>
      </c>
      <c r="B857" t="s">
        <v>2086</v>
      </c>
      <c r="C857" s="1" t="s">
        <v>2087</v>
      </c>
      <c r="D857" t="s">
        <v>2088</v>
      </c>
      <c r="E857">
        <v>2500</v>
      </c>
      <c r="F857" t="s">
        <v>2076</v>
      </c>
    </row>
    <row r="858" spans="1:6" customHeight="1" ht="13.8">
      <c r="A858" t="s">
        <v>226</v>
      </c>
      <c r="B858" t="s">
        <v>227</v>
      </c>
      <c r="C858" s="1" t="s">
        <v>228</v>
      </c>
      <c r="D858" t="s">
        <v>229</v>
      </c>
      <c r="E858">
        <v>26500</v>
      </c>
      <c r="F858" t="s">
        <v>2089</v>
      </c>
    </row>
    <row r="859" spans="1:6" customHeight="1" ht="13.8">
      <c r="A859" t="s">
        <v>2090</v>
      </c>
      <c r="B859" t="s">
        <v>2091</v>
      </c>
      <c r="C859" s="1" t="s">
        <v>2092</v>
      </c>
      <c r="D859" t="s">
        <v>2093</v>
      </c>
      <c r="E859">
        <v>26500</v>
      </c>
      <c r="F859" t="s">
        <v>2089</v>
      </c>
    </row>
    <row r="860" spans="1:6" customHeight="1" ht="13.8">
      <c r="A860" t="s">
        <v>734</v>
      </c>
      <c r="B860" t="s">
        <v>735</v>
      </c>
      <c r="C860">
        <v>108068661</v>
      </c>
      <c r="D860" t="s">
        <v>736</v>
      </c>
      <c r="E860">
        <v>26500</v>
      </c>
      <c r="F860" t="s">
        <v>2089</v>
      </c>
    </row>
    <row r="861" spans="1:6" customHeight="1" ht="13.8">
      <c r="A861" t="s">
        <v>2064</v>
      </c>
      <c r="B861" t="s">
        <v>2065</v>
      </c>
      <c r="D861" t="s">
        <v>2066</v>
      </c>
      <c r="E861">
        <v>26500</v>
      </c>
      <c r="F861" t="s">
        <v>2089</v>
      </c>
    </row>
    <row r="862" spans="1:6" customHeight="1" ht="13.8">
      <c r="A862" t="s">
        <v>57</v>
      </c>
      <c r="B862" t="s">
        <v>58</v>
      </c>
      <c r="C862">
        <v>121104263</v>
      </c>
      <c r="D862" t="s">
        <v>59</v>
      </c>
      <c r="E862">
        <v>26500</v>
      </c>
      <c r="F862" t="s">
        <v>2089</v>
      </c>
    </row>
    <row r="863" spans="1:6" customHeight="1" ht="13.8">
      <c r="A863" t="s">
        <v>147</v>
      </c>
      <c r="B863" t="s">
        <v>148</v>
      </c>
      <c r="C863" s="1" t="s">
        <v>149</v>
      </c>
      <c r="D863" t="s">
        <v>150</v>
      </c>
      <c r="E863">
        <v>26500</v>
      </c>
      <c r="F863" t="s">
        <v>2089</v>
      </c>
    </row>
    <row r="864" spans="1:6" customHeight="1" ht="13.8">
      <c r="A864" t="s">
        <v>2094</v>
      </c>
      <c r="B864" t="s">
        <v>2095</v>
      </c>
      <c r="D864" t="s">
        <v>2096</v>
      </c>
      <c r="E864">
        <v>26500</v>
      </c>
      <c r="F864" t="s">
        <v>2089</v>
      </c>
    </row>
    <row r="865" spans="1:6" customHeight="1" ht="13.8">
      <c r="A865" t="s">
        <v>60</v>
      </c>
      <c r="B865" t="s">
        <v>61</v>
      </c>
      <c r="C865" s="1" t="s">
        <v>62</v>
      </c>
      <c r="D865" t="s">
        <v>63</v>
      </c>
      <c r="E865">
        <v>26500</v>
      </c>
      <c r="F865" t="s">
        <v>2089</v>
      </c>
    </row>
    <row r="866" spans="1:6" customHeight="1" ht="13.8">
      <c r="A866" t="s">
        <v>147</v>
      </c>
      <c r="B866" t="s">
        <v>148</v>
      </c>
      <c r="C866" s="1" t="s">
        <v>149</v>
      </c>
      <c r="D866" t="s">
        <v>150</v>
      </c>
      <c r="E866">
        <v>10000</v>
      </c>
      <c r="F866" t="s">
        <v>2097</v>
      </c>
    </row>
    <row r="867" spans="1:6" customHeight="1" ht="13.8">
      <c r="A867" t="s">
        <v>2098</v>
      </c>
      <c r="B867" t="s">
        <v>2099</v>
      </c>
      <c r="C867" s="1" t="s">
        <v>2100</v>
      </c>
      <c r="D867" t="s">
        <v>2101</v>
      </c>
      <c r="E867">
        <v>10000</v>
      </c>
      <c r="F867" t="s">
        <v>2097</v>
      </c>
    </row>
    <row r="868" spans="1:6" customHeight="1" ht="13.8">
      <c r="A868" t="s">
        <v>2102</v>
      </c>
      <c r="B868" t="s">
        <v>2103</v>
      </c>
      <c r="C868">
        <v>120733783</v>
      </c>
      <c r="D868" t="s">
        <v>2104</v>
      </c>
      <c r="E868">
        <v>6500</v>
      </c>
      <c r="F868" t="s">
        <v>2105</v>
      </c>
    </row>
    <row r="869" spans="1:6" customHeight="1" ht="13.8">
      <c r="A869" t="s">
        <v>2106</v>
      </c>
      <c r="B869" t="s">
        <v>2107</v>
      </c>
      <c r="C869" s="1" t="s">
        <v>2108</v>
      </c>
      <c r="D869" t="s">
        <v>2109</v>
      </c>
      <c r="E869">
        <v>6500</v>
      </c>
      <c r="F869" t="s">
        <v>2105</v>
      </c>
    </row>
    <row r="870" spans="1:6" customHeight="1" ht="13.8">
      <c r="A870" t="s">
        <v>2110</v>
      </c>
      <c r="B870" t="s">
        <v>2111</v>
      </c>
      <c r="C870">
        <v>112926667</v>
      </c>
      <c r="D870" t="s">
        <v>2112</v>
      </c>
      <c r="E870">
        <v>6500</v>
      </c>
      <c r="F870" t="s">
        <v>2105</v>
      </c>
    </row>
    <row r="871" spans="1:6" customHeight="1" ht="13.8">
      <c r="A871" t="s">
        <v>2113</v>
      </c>
      <c r="B871" t="s">
        <v>2114</v>
      </c>
      <c r="C871" s="1" t="s">
        <v>2115</v>
      </c>
      <c r="D871" t="s">
        <v>2116</v>
      </c>
      <c r="E871">
        <v>6500</v>
      </c>
      <c r="F871" t="s">
        <v>2105</v>
      </c>
    </row>
    <row r="872" spans="1:6" customHeight="1" ht="13.8">
      <c r="A872" t="s">
        <v>2117</v>
      </c>
      <c r="B872" t="s">
        <v>2118</v>
      </c>
      <c r="C872">
        <v>115924868</v>
      </c>
      <c r="D872" t="s">
        <v>2119</v>
      </c>
      <c r="E872">
        <v>6500</v>
      </c>
      <c r="F872" t="s">
        <v>2105</v>
      </c>
    </row>
    <row r="873" spans="1:6" customHeight="1" ht="13.8">
      <c r="A873" t="s">
        <v>2120</v>
      </c>
      <c r="B873" t="s">
        <v>2121</v>
      </c>
      <c r="C873" s="1" t="s">
        <v>2122</v>
      </c>
      <c r="D873" t="s">
        <v>2123</v>
      </c>
      <c r="E873">
        <v>6500</v>
      </c>
      <c r="F873" t="s">
        <v>2105</v>
      </c>
    </row>
    <row r="874" spans="1:6" customHeight="1" ht="13.8">
      <c r="A874" t="s">
        <v>2124</v>
      </c>
      <c r="B874" t="s">
        <v>2125</v>
      </c>
      <c r="C874">
        <v>119230763</v>
      </c>
      <c r="D874" t="s">
        <v>2126</v>
      </c>
      <c r="E874">
        <v>6500</v>
      </c>
      <c r="F874" t="s">
        <v>2105</v>
      </c>
    </row>
    <row r="875" spans="1:6" customHeight="1" ht="13.8">
      <c r="A875" t="s">
        <v>2127</v>
      </c>
      <c r="B875" t="s">
        <v>2128</v>
      </c>
      <c r="C875" s="1" t="s">
        <v>2129</v>
      </c>
      <c r="D875" t="s">
        <v>2130</v>
      </c>
      <c r="E875">
        <v>6500</v>
      </c>
      <c r="F875" t="s">
        <v>2105</v>
      </c>
    </row>
    <row r="876" spans="1:6" customHeight="1" ht="13.8">
      <c r="A876" t="s">
        <v>2131</v>
      </c>
      <c r="B876" t="s">
        <v>2132</v>
      </c>
      <c r="C876">
        <v>119526938</v>
      </c>
      <c r="D876" t="s">
        <v>2133</v>
      </c>
      <c r="E876">
        <v>6500</v>
      </c>
      <c r="F876" t="s">
        <v>2105</v>
      </c>
    </row>
    <row r="877" spans="1:6" customHeight="1" ht="13.8">
      <c r="A877" t="s">
        <v>2134</v>
      </c>
      <c r="B877" t="s">
        <v>2135</v>
      </c>
      <c r="D877" t="s">
        <v>2136</v>
      </c>
      <c r="E877">
        <v>6500</v>
      </c>
      <c r="F877" t="s">
        <v>2105</v>
      </c>
    </row>
    <row r="878" spans="1:6" customHeight="1" ht="13.8">
      <c r="A878" t="s">
        <v>2137</v>
      </c>
      <c r="B878" t="s">
        <v>2138</v>
      </c>
      <c r="C878" s="1" t="s">
        <v>2139</v>
      </c>
      <c r="D878" t="s">
        <v>2140</v>
      </c>
      <c r="E878">
        <v>6500</v>
      </c>
      <c r="F878" t="s">
        <v>2105</v>
      </c>
    </row>
    <row r="879" spans="1:6" customHeight="1" ht="13.8">
      <c r="A879" t="s">
        <v>2141</v>
      </c>
      <c r="B879" t="s">
        <v>2142</v>
      </c>
      <c r="C879">
        <v>145979876</v>
      </c>
      <c r="D879" t="s">
        <v>2143</v>
      </c>
      <c r="E879">
        <v>6500</v>
      </c>
      <c r="F879" t="s">
        <v>2105</v>
      </c>
    </row>
    <row r="880" spans="1:6" customHeight="1" ht="13.8">
      <c r="A880" t="s">
        <v>2144</v>
      </c>
      <c r="B880" t="s">
        <v>2145</v>
      </c>
      <c r="C880">
        <v>109467524</v>
      </c>
      <c r="D880" t="s">
        <v>2146</v>
      </c>
      <c r="E880">
        <v>6500</v>
      </c>
      <c r="F880" t="s">
        <v>2105</v>
      </c>
    </row>
    <row r="881" spans="1:6" customHeight="1" ht="13.8">
      <c r="A881" t="s">
        <v>2147</v>
      </c>
      <c r="B881" t="s">
        <v>2148</v>
      </c>
      <c r="C881" s="1" t="s">
        <v>2149</v>
      </c>
      <c r="D881" t="s">
        <v>2150</v>
      </c>
      <c r="E881">
        <v>6500</v>
      </c>
      <c r="F881" t="s">
        <v>2105</v>
      </c>
    </row>
    <row r="882" spans="1:6" customHeight="1" ht="13.8">
      <c r="A882" t="s">
        <v>2151</v>
      </c>
      <c r="B882" t="s">
        <v>2152</v>
      </c>
      <c r="C882" s="1" t="s">
        <v>2153</v>
      </c>
      <c r="D882" t="s">
        <v>1276</v>
      </c>
      <c r="E882">
        <v>6500</v>
      </c>
      <c r="F882" t="s">
        <v>2105</v>
      </c>
    </row>
    <row r="883" spans="1:6" customHeight="1" ht="13.8">
      <c r="A883" t="s">
        <v>2154</v>
      </c>
      <c r="B883" t="s">
        <v>2155</v>
      </c>
      <c r="C883" s="1" t="s">
        <v>2156</v>
      </c>
      <c r="D883" t="s">
        <v>2157</v>
      </c>
      <c r="E883">
        <v>60000</v>
      </c>
      <c r="F883" t="s">
        <v>2158</v>
      </c>
    </row>
    <row r="884" spans="1:6" customHeight="1" ht="13.8">
      <c r="A884" t="s">
        <v>2159</v>
      </c>
      <c r="B884" t="s">
        <v>2160</v>
      </c>
      <c r="C884" s="1" t="s">
        <v>2161</v>
      </c>
      <c r="D884" t="s">
        <v>2162</v>
      </c>
      <c r="E884">
        <v>60000</v>
      </c>
      <c r="F884" t="s">
        <v>2158</v>
      </c>
    </row>
    <row r="885" spans="1:6" customHeight="1" ht="13.8">
      <c r="A885" t="s">
        <v>2163</v>
      </c>
      <c r="B885" t="s">
        <v>2164</v>
      </c>
      <c r="C885" s="1" t="s">
        <v>2165</v>
      </c>
      <c r="D885" t="s">
        <v>2166</v>
      </c>
      <c r="E885">
        <v>60000</v>
      </c>
      <c r="F885" t="s">
        <v>2158</v>
      </c>
    </row>
    <row r="886" spans="1:6" customHeight="1" ht="13.8">
      <c r="A886" t="s">
        <v>1588</v>
      </c>
      <c r="B886" t="s">
        <v>1589</v>
      </c>
      <c r="C886" s="1" t="s">
        <v>1590</v>
      </c>
      <c r="D886" t="s">
        <v>1591</v>
      </c>
      <c r="E886">
        <v>30000</v>
      </c>
      <c r="F886" t="s">
        <v>2167</v>
      </c>
    </row>
    <row r="887" spans="1:6" customHeight="1" ht="13.8">
      <c r="A887" t="s">
        <v>2168</v>
      </c>
      <c r="B887" t="s">
        <v>2169</v>
      </c>
      <c r="C887" s="1" t="s">
        <v>2170</v>
      </c>
      <c r="D887" t="s">
        <v>2171</v>
      </c>
      <c r="E887">
        <v>30000</v>
      </c>
      <c r="F887" t="s">
        <v>2167</v>
      </c>
    </row>
    <row r="888" spans="1:6" customHeight="1" ht="13.8">
      <c r="A888" t="s">
        <v>2172</v>
      </c>
      <c r="B888" t="s">
        <v>1713</v>
      </c>
      <c r="C888" s="1" t="s">
        <v>1714</v>
      </c>
      <c r="D888" t="s">
        <v>2173</v>
      </c>
      <c r="E888">
        <v>26500</v>
      </c>
      <c r="F888" t="s">
        <v>2174</v>
      </c>
    </row>
    <row r="889" spans="1:6" customHeight="1" ht="13.8">
      <c r="A889" t="s">
        <v>1689</v>
      </c>
      <c r="B889" t="s">
        <v>1690</v>
      </c>
      <c r="C889" s="1" t="s">
        <v>1691</v>
      </c>
      <c r="D889" t="s">
        <v>1692</v>
      </c>
      <c r="E889">
        <v>26500</v>
      </c>
      <c r="F889" t="s">
        <v>2174</v>
      </c>
    </row>
    <row r="890" spans="1:6" customHeight="1" ht="13.8">
      <c r="A890" t="s">
        <v>39</v>
      </c>
      <c r="B890" t="s">
        <v>40</v>
      </c>
      <c r="C890" s="1" t="s">
        <v>41</v>
      </c>
      <c r="D890" t="s">
        <v>42</v>
      </c>
      <c r="E890">
        <v>21000</v>
      </c>
      <c r="F890" t="s">
        <v>2175</v>
      </c>
    </row>
    <row r="891" spans="1:6" customHeight="1" ht="13.8">
      <c r="A891" t="s">
        <v>2008</v>
      </c>
      <c r="B891" t="s">
        <v>2009</v>
      </c>
      <c r="C891" s="1" t="s">
        <v>2010</v>
      </c>
      <c r="D891" t="s">
        <v>2011</v>
      </c>
      <c r="E891">
        <v>13500</v>
      </c>
      <c r="F891" t="s">
        <v>2176</v>
      </c>
    </row>
    <row r="892" spans="1:6" customHeight="1" ht="13.8">
      <c r="A892" t="s">
        <v>126</v>
      </c>
      <c r="B892" t="s">
        <v>127</v>
      </c>
      <c r="C892" s="1" t="s">
        <v>128</v>
      </c>
      <c r="D892" t="s">
        <v>129</v>
      </c>
      <c r="E892">
        <v>13500</v>
      </c>
      <c r="F892" t="s">
        <v>2176</v>
      </c>
    </row>
    <row r="893" spans="1:6" customHeight="1" ht="13.8">
      <c r="A893" t="s">
        <v>2177</v>
      </c>
      <c r="B893" t="s">
        <v>2178</v>
      </c>
      <c r="C893" s="1" t="s">
        <v>2179</v>
      </c>
      <c r="D893" t="s">
        <v>2180</v>
      </c>
      <c r="E893">
        <v>26500</v>
      </c>
      <c r="F893" t="s">
        <v>2181</v>
      </c>
    </row>
    <row r="894" spans="1:6" customHeight="1" ht="13.8">
      <c r="A894" t="s">
        <v>2182</v>
      </c>
      <c r="B894" t="s">
        <v>2183</v>
      </c>
      <c r="C894" s="1" t="s">
        <v>2184</v>
      </c>
      <c r="D894" t="s">
        <v>2185</v>
      </c>
      <c r="E894">
        <v>26500</v>
      </c>
      <c r="F894" t="s">
        <v>2181</v>
      </c>
    </row>
    <row r="895" spans="1:6" customHeight="1" ht="13.8">
      <c r="A895" t="s">
        <v>2186</v>
      </c>
      <c r="B895" t="s">
        <v>2187</v>
      </c>
      <c r="C895">
        <v>111588170</v>
      </c>
      <c r="D895" t="s">
        <v>2188</v>
      </c>
      <c r="E895">
        <v>7200</v>
      </c>
      <c r="F895" t="s">
        <v>2189</v>
      </c>
    </row>
    <row r="896" spans="1:6" customHeight="1" ht="13.8">
      <c r="A896" t="s">
        <v>2190</v>
      </c>
      <c r="B896" t="s">
        <v>2191</v>
      </c>
      <c r="C896" s="1" t="s">
        <v>2192</v>
      </c>
      <c r="D896" t="s">
        <v>2193</v>
      </c>
      <c r="E896">
        <v>7200</v>
      </c>
      <c r="F896" t="s">
        <v>2189</v>
      </c>
    </row>
    <row r="897" spans="1:6" customHeight="1" ht="13.8">
      <c r="A897" t="s">
        <v>2194</v>
      </c>
      <c r="B897" t="s">
        <v>2195</v>
      </c>
      <c r="C897">
        <v>107189864</v>
      </c>
      <c r="D897" t="s">
        <v>2196</v>
      </c>
      <c r="E897">
        <v>7200</v>
      </c>
      <c r="F897" t="s">
        <v>2189</v>
      </c>
    </row>
    <row r="898" spans="1:6" customHeight="1" ht="13.8">
      <c r="A898" t="s">
        <v>2197</v>
      </c>
      <c r="B898" t="s">
        <v>2198</v>
      </c>
      <c r="C898" s="1" t="s">
        <v>2199</v>
      </c>
      <c r="D898" t="s">
        <v>2200</v>
      </c>
      <c r="E898">
        <v>7200</v>
      </c>
      <c r="F898" t="s">
        <v>2189</v>
      </c>
    </row>
    <row r="899" spans="1:6" customHeight="1" ht="13.8">
      <c r="A899" t="s">
        <v>2201</v>
      </c>
      <c r="B899" t="s">
        <v>2202</v>
      </c>
      <c r="C899" s="1" t="s">
        <v>2203</v>
      </c>
      <c r="D899" t="s">
        <v>2204</v>
      </c>
      <c r="E899">
        <v>55000</v>
      </c>
      <c r="F899" t="s">
        <v>2205</v>
      </c>
    </row>
    <row r="900" spans="1:6" customHeight="1" ht="13.8">
      <c r="A900" t="s">
        <v>2206</v>
      </c>
      <c r="B900" t="s">
        <v>2207</v>
      </c>
      <c r="C900" s="1" t="s">
        <v>2208</v>
      </c>
      <c r="D900" t="s">
        <v>2209</v>
      </c>
      <c r="E900">
        <v>55000</v>
      </c>
      <c r="F900" t="s">
        <v>2205</v>
      </c>
    </row>
    <row r="901" spans="1:6" customHeight="1" ht="13.8">
      <c r="A901" t="s">
        <v>1537</v>
      </c>
      <c r="B901" t="s">
        <v>1538</v>
      </c>
      <c r="C901" s="1" t="s">
        <v>1539</v>
      </c>
      <c r="D901" t="s">
        <v>1540</v>
      </c>
      <c r="E901">
        <v>55000</v>
      </c>
      <c r="F901" t="s">
        <v>2205</v>
      </c>
    </row>
    <row r="902" spans="1:6" customHeight="1" ht="13.8">
      <c r="A902" t="s">
        <v>32</v>
      </c>
      <c r="B902" t="s">
        <v>33</v>
      </c>
      <c r="D902" t="s">
        <v>34</v>
      </c>
      <c r="E902">
        <v>75000</v>
      </c>
      <c r="F902" t="s">
        <v>2210</v>
      </c>
    </row>
    <row r="903" spans="1:6" customHeight="1" ht="13.8">
      <c r="A903" t="s">
        <v>2211</v>
      </c>
      <c r="B903" t="s">
        <v>2057</v>
      </c>
      <c r="C903" s="1" t="s">
        <v>2058</v>
      </c>
      <c r="D903" t="s">
        <v>2212</v>
      </c>
      <c r="E903">
        <v>85000</v>
      </c>
      <c r="F903" t="s">
        <v>2213</v>
      </c>
    </row>
    <row r="904" spans="1:6" customHeight="1" ht="13.8">
      <c r="A904" t="s">
        <v>2214</v>
      </c>
      <c r="B904" t="s">
        <v>2057</v>
      </c>
      <c r="C904" s="1" t="s">
        <v>2058</v>
      </c>
      <c r="D904" t="s">
        <v>2215</v>
      </c>
      <c r="E904">
        <v>-85000</v>
      </c>
      <c r="F904" t="s">
        <v>2213</v>
      </c>
    </row>
    <row r="905" spans="1:6" customHeight="1" ht="13.8">
      <c r="A905" t="s">
        <v>2216</v>
      </c>
      <c r="B905" t="s">
        <v>2057</v>
      </c>
      <c r="C905" s="1" t="s">
        <v>2058</v>
      </c>
      <c r="D905" t="s">
        <v>2217</v>
      </c>
      <c r="E905">
        <v>85000</v>
      </c>
      <c r="F905" t="s">
        <v>2213</v>
      </c>
    </row>
    <row r="906" spans="1:6" customHeight="1" ht="13.8">
      <c r="A906" t="s">
        <v>2218</v>
      </c>
      <c r="B906" t="s">
        <v>2057</v>
      </c>
      <c r="C906" s="1" t="s">
        <v>2058</v>
      </c>
      <c r="D906" t="s">
        <v>2219</v>
      </c>
      <c r="E906">
        <v>-85000</v>
      </c>
      <c r="F906" t="s">
        <v>2213</v>
      </c>
    </row>
    <row r="907" spans="1:6" customHeight="1" ht="13.8">
      <c r="A907" t="s">
        <v>2220</v>
      </c>
      <c r="B907" t="s">
        <v>2057</v>
      </c>
      <c r="C907" s="1" t="s">
        <v>2058</v>
      </c>
      <c r="D907" t="s">
        <v>2221</v>
      </c>
      <c r="E907">
        <v>85000</v>
      </c>
      <c r="F907" t="s">
        <v>2213</v>
      </c>
    </row>
    <row r="908" spans="1:6" customHeight="1" ht="13.8">
      <c r="A908" t="s">
        <v>1509</v>
      </c>
      <c r="B908" t="s">
        <v>1510</v>
      </c>
      <c r="C908" s="1" t="s">
        <v>1511</v>
      </c>
      <c r="D908" t="s">
        <v>1512</v>
      </c>
      <c r="E908">
        <v>85000</v>
      </c>
      <c r="F908" t="s">
        <v>2213</v>
      </c>
    </row>
    <row r="909" spans="1:6" customHeight="1" ht="13.8">
      <c r="A909" t="s">
        <v>2222</v>
      </c>
      <c r="B909" t="s">
        <v>2223</v>
      </c>
      <c r="C909" s="1" t="s">
        <v>2224</v>
      </c>
      <c r="D909" t="s">
        <v>2225</v>
      </c>
      <c r="E909">
        <v>85000</v>
      </c>
      <c r="F909" t="s">
        <v>2213</v>
      </c>
    </row>
    <row r="910" spans="1:6" customHeight="1" ht="13.8">
      <c r="A910" t="s">
        <v>1537</v>
      </c>
      <c r="B910" t="s">
        <v>1538</v>
      </c>
      <c r="C910" s="1" t="s">
        <v>1539</v>
      </c>
      <c r="D910" t="s">
        <v>1540</v>
      </c>
      <c r="E910">
        <v>85000</v>
      </c>
      <c r="F910" t="s">
        <v>2213</v>
      </c>
    </row>
    <row r="911" spans="1:6" customHeight="1" ht="13.8">
      <c r="A911" t="s">
        <v>2226</v>
      </c>
      <c r="B911" t="s">
        <v>2227</v>
      </c>
      <c r="C911" s="1" t="s">
        <v>2228</v>
      </c>
      <c r="D911" t="s">
        <v>2229</v>
      </c>
      <c r="E911">
        <v>85000</v>
      </c>
      <c r="F911" t="s">
        <v>2213</v>
      </c>
    </row>
    <row r="912" spans="1:6" customHeight="1" ht="13.8">
      <c r="A912" t="s">
        <v>2230</v>
      </c>
      <c r="B912" t="s">
        <v>2231</v>
      </c>
      <c r="C912" s="1" t="s">
        <v>2232</v>
      </c>
      <c r="D912" t="s">
        <v>2233</v>
      </c>
      <c r="E912">
        <v>165000</v>
      </c>
      <c r="F912" t="s">
        <v>2234</v>
      </c>
    </row>
    <row r="913" spans="1:6" customHeight="1" ht="13.8">
      <c r="A913" t="s">
        <v>2235</v>
      </c>
      <c r="B913" t="s">
        <v>2236</v>
      </c>
      <c r="C913" s="1" t="s">
        <v>2237</v>
      </c>
      <c r="D913" t="s">
        <v>1614</v>
      </c>
      <c r="E913">
        <v>165000</v>
      </c>
      <c r="F913" t="s">
        <v>2234</v>
      </c>
    </row>
    <row r="914" spans="1:6" customHeight="1" ht="13.8">
      <c r="A914" t="s">
        <v>181</v>
      </c>
      <c r="B914" t="s">
        <v>182</v>
      </c>
      <c r="C914" s="1" t="s">
        <v>183</v>
      </c>
      <c r="D914" t="s">
        <v>184</v>
      </c>
      <c r="E914">
        <v>165000</v>
      </c>
      <c r="F914" t="s">
        <v>2234</v>
      </c>
    </row>
    <row r="915" spans="1:6" customHeight="1" ht="13.8">
      <c r="A915" t="s">
        <v>2238</v>
      </c>
      <c r="B915" t="s">
        <v>2239</v>
      </c>
      <c r="C915" s="1" t="s">
        <v>2240</v>
      </c>
      <c r="D915" t="s">
        <v>2241</v>
      </c>
      <c r="E915">
        <v>200000</v>
      </c>
      <c r="F915" t="s">
        <v>2242</v>
      </c>
    </row>
    <row r="916" spans="1:6" customHeight="1" ht="13.8">
      <c r="A916" t="s">
        <v>2243</v>
      </c>
      <c r="B916" t="s">
        <v>2244</v>
      </c>
      <c r="C916" s="1" t="s">
        <v>2245</v>
      </c>
      <c r="D916" t="s">
        <v>2246</v>
      </c>
      <c r="E916">
        <v>200000</v>
      </c>
      <c r="F916" t="s">
        <v>2242</v>
      </c>
    </row>
    <row r="917" spans="1:6" customHeight="1" ht="13.8">
      <c r="A917" t="s">
        <v>2247</v>
      </c>
      <c r="B917" t="s">
        <v>2248</v>
      </c>
      <c r="C917" s="1" t="s">
        <v>2249</v>
      </c>
      <c r="D917" t="s">
        <v>2250</v>
      </c>
      <c r="E917">
        <v>200000</v>
      </c>
      <c r="F917" t="s">
        <v>2242</v>
      </c>
    </row>
    <row r="918" spans="1:6" customHeight="1" ht="13.8">
      <c r="A918" t="s">
        <v>2251</v>
      </c>
      <c r="B918" t="s">
        <v>2252</v>
      </c>
      <c r="C918" s="1" t="s">
        <v>2253</v>
      </c>
      <c r="D918" t="s">
        <v>2254</v>
      </c>
      <c r="E918">
        <v>285000</v>
      </c>
      <c r="F918" t="s">
        <v>2255</v>
      </c>
    </row>
    <row r="919" spans="1:6" customHeight="1" ht="13.8">
      <c r="A919" t="s">
        <v>2256</v>
      </c>
      <c r="B919" t="s">
        <v>1708</v>
      </c>
      <c r="C919" s="1" t="s">
        <v>1709</v>
      </c>
      <c r="D919" t="s">
        <v>2257</v>
      </c>
      <c r="E919">
        <v>285000</v>
      </c>
      <c r="F919" t="s">
        <v>2255</v>
      </c>
    </row>
    <row r="920" spans="1:6" customHeight="1" ht="13.8">
      <c r="A920" t="s">
        <v>2258</v>
      </c>
      <c r="B920" t="s">
        <v>2259</v>
      </c>
      <c r="C920" s="1" t="s">
        <v>2260</v>
      </c>
      <c r="D920" t="s">
        <v>2261</v>
      </c>
      <c r="E920">
        <v>285000</v>
      </c>
      <c r="F920" t="s">
        <v>2255</v>
      </c>
    </row>
    <row r="921" spans="1:6" customHeight="1" ht="13.8">
      <c r="A921" t="s">
        <v>2262</v>
      </c>
      <c r="B921" t="s">
        <v>2263</v>
      </c>
      <c r="C921" s="1" t="s">
        <v>2264</v>
      </c>
      <c r="D921" t="s">
        <v>2265</v>
      </c>
      <c r="E921">
        <v>285000</v>
      </c>
      <c r="F921" t="s">
        <v>2255</v>
      </c>
    </row>
    <row r="922" spans="1:6" customHeight="1" ht="13.8">
      <c r="A922" t="s">
        <v>2266</v>
      </c>
      <c r="B922" t="s">
        <v>2267</v>
      </c>
      <c r="C922" s="1" t="s">
        <v>2268</v>
      </c>
      <c r="D922" t="s">
        <v>2269</v>
      </c>
      <c r="E922">
        <v>285000</v>
      </c>
      <c r="F922" t="s">
        <v>2255</v>
      </c>
    </row>
    <row r="923" spans="1:6" customHeight="1" ht="13.8">
      <c r="A923" t="s">
        <v>2270</v>
      </c>
      <c r="B923" t="s">
        <v>2271</v>
      </c>
      <c r="C923" s="1" t="s">
        <v>2272</v>
      </c>
      <c r="D923" t="s">
        <v>2273</v>
      </c>
      <c r="E923">
        <v>285000</v>
      </c>
      <c r="F923" t="s">
        <v>2255</v>
      </c>
    </row>
    <row r="924" spans="1:6" customHeight="1" ht="13.8">
      <c r="A924" t="s">
        <v>2274</v>
      </c>
      <c r="B924" t="s">
        <v>2271</v>
      </c>
      <c r="C924" s="1" t="s">
        <v>2272</v>
      </c>
      <c r="D924" t="s">
        <v>2275</v>
      </c>
      <c r="E924">
        <v>285000</v>
      </c>
      <c r="F924" t="s">
        <v>2255</v>
      </c>
    </row>
    <row r="925" spans="1:6" customHeight="1" ht="13.8">
      <c r="A925" t="s">
        <v>2276</v>
      </c>
      <c r="B925" t="s">
        <v>2271</v>
      </c>
      <c r="C925" s="1" t="s">
        <v>2272</v>
      </c>
      <c r="D925" t="s">
        <v>2277</v>
      </c>
      <c r="E925">
        <v>-285000</v>
      </c>
      <c r="F925" t="s">
        <v>2255</v>
      </c>
    </row>
    <row r="926" spans="1:6" customHeight="1" ht="13.8">
      <c r="A926" t="s">
        <v>2278</v>
      </c>
      <c r="B926" t="s">
        <v>2279</v>
      </c>
      <c r="C926" s="1" t="s">
        <v>2280</v>
      </c>
      <c r="D926" t="s">
        <v>2281</v>
      </c>
      <c r="E926">
        <v>285000</v>
      </c>
      <c r="F926" t="s">
        <v>2255</v>
      </c>
    </row>
    <row r="927" spans="1:6" customHeight="1" ht="13.8">
      <c r="A927" t="s">
        <v>2064</v>
      </c>
      <c r="B927" t="s">
        <v>2065</v>
      </c>
      <c r="D927" t="s">
        <v>2066</v>
      </c>
      <c r="E927">
        <v>7000</v>
      </c>
      <c r="F927" t="s">
        <v>2282</v>
      </c>
    </row>
    <row r="928" spans="1:6" customHeight="1" ht="13.8">
      <c r="A928" t="s">
        <v>2283</v>
      </c>
      <c r="B928" t="s">
        <v>2284</v>
      </c>
      <c r="C928" s="1" t="s">
        <v>2285</v>
      </c>
      <c r="D928" t="s">
        <v>2286</v>
      </c>
      <c r="E928">
        <v>16500</v>
      </c>
      <c r="F928" t="s">
        <v>2287</v>
      </c>
    </row>
    <row r="929" spans="1:6" customHeight="1" ht="13.8">
      <c r="A929" t="s">
        <v>194</v>
      </c>
      <c r="B929" t="s">
        <v>195</v>
      </c>
      <c r="C929">
        <v>121397629</v>
      </c>
      <c r="D929" t="s">
        <v>196</v>
      </c>
      <c r="E929">
        <v>16500</v>
      </c>
      <c r="F929" t="s">
        <v>2287</v>
      </c>
    </row>
    <row r="930" spans="1:6" customHeight="1" ht="13.8">
      <c r="A930" t="s">
        <v>1537</v>
      </c>
      <c r="B930" t="s">
        <v>1538</v>
      </c>
      <c r="C930" s="1" t="s">
        <v>1539</v>
      </c>
      <c r="D930" t="s">
        <v>1540</v>
      </c>
      <c r="E930">
        <v>25000</v>
      </c>
      <c r="F930" t="s">
        <v>2288</v>
      </c>
    </row>
    <row r="931" spans="1:6" customHeight="1" ht="13.8">
      <c r="A931" t="s">
        <v>2289</v>
      </c>
      <c r="B931" t="s">
        <v>2290</v>
      </c>
      <c r="C931">
        <v>114168041</v>
      </c>
      <c r="D931" t="s">
        <v>2291</v>
      </c>
      <c r="E931">
        <v>25000</v>
      </c>
      <c r="F931" t="s">
        <v>2288</v>
      </c>
    </row>
    <row r="932" spans="1:6" customHeight="1" ht="13.8">
      <c r="A932" t="s">
        <v>260</v>
      </c>
      <c r="B932" t="s">
        <v>261</v>
      </c>
      <c r="C932" s="1" t="s">
        <v>262</v>
      </c>
      <c r="D932" t="s">
        <v>263</v>
      </c>
      <c r="E932">
        <v>12000</v>
      </c>
      <c r="F932" t="s">
        <v>2292</v>
      </c>
    </row>
    <row r="933" spans="1:6" customHeight="1" ht="13.8">
      <c r="A933" t="s">
        <v>2293</v>
      </c>
      <c r="B933" t="s">
        <v>2294</v>
      </c>
      <c r="C933" s="1" t="s">
        <v>2295</v>
      </c>
      <c r="D933" t="s">
        <v>647</v>
      </c>
      <c r="E933">
        <v>24000</v>
      </c>
      <c r="F933" t="s">
        <v>2296</v>
      </c>
    </row>
    <row r="934" spans="1:6" customHeight="1" ht="13.8">
      <c r="A934" t="s">
        <v>2297</v>
      </c>
      <c r="B934" t="s">
        <v>2298</v>
      </c>
      <c r="C934" s="1" t="s">
        <v>2299</v>
      </c>
      <c r="D934" t="s">
        <v>2300</v>
      </c>
      <c r="E934">
        <v>24000</v>
      </c>
      <c r="F934" t="s">
        <v>2296</v>
      </c>
    </row>
    <row r="935" spans="1:6" customHeight="1" ht="13.8">
      <c r="A935" t="s">
        <v>2301</v>
      </c>
      <c r="B935" t="s">
        <v>2302</v>
      </c>
      <c r="C935" s="1" t="s">
        <v>2303</v>
      </c>
      <c r="D935" t="s">
        <v>2304</v>
      </c>
      <c r="E935">
        <v>41000</v>
      </c>
      <c r="F935" t="s">
        <v>2305</v>
      </c>
    </row>
    <row r="936" spans="1:6" customHeight="1" ht="13.8">
      <c r="A936" t="s">
        <v>2306</v>
      </c>
      <c r="B936" t="s">
        <v>2307</v>
      </c>
      <c r="C936">
        <v>125146247</v>
      </c>
      <c r="D936" t="s">
        <v>2308</v>
      </c>
      <c r="E936">
        <v>47000</v>
      </c>
      <c r="F936" t="s">
        <v>2309</v>
      </c>
    </row>
    <row r="937" spans="1:6" customHeight="1" ht="13.8">
      <c r="A937" t="s">
        <v>2310</v>
      </c>
      <c r="B937" t="s">
        <v>2311</v>
      </c>
      <c r="C937" s="1" t="s">
        <v>2312</v>
      </c>
      <c r="D937" t="s">
        <v>2313</v>
      </c>
      <c r="E937">
        <v>47000</v>
      </c>
      <c r="F937" t="s">
        <v>2309</v>
      </c>
    </row>
    <row r="938" spans="1:6" customHeight="1" ht="13.8">
      <c r="A938" t="s">
        <v>2314</v>
      </c>
      <c r="B938" t="s">
        <v>2315</v>
      </c>
      <c r="C938">
        <v>105412728</v>
      </c>
      <c r="D938" t="s">
        <v>2316</v>
      </c>
      <c r="E938">
        <v>2500</v>
      </c>
      <c r="F938" t="s">
        <v>2317</v>
      </c>
    </row>
    <row r="939" spans="1:6" customHeight="1" ht="13.8">
      <c r="A939" t="s">
        <v>2318</v>
      </c>
      <c r="B939" t="s">
        <v>2319</v>
      </c>
      <c r="C939" s="1" t="s">
        <v>2320</v>
      </c>
      <c r="D939" t="s">
        <v>2321</v>
      </c>
      <c r="E939">
        <v>7200</v>
      </c>
      <c r="F939" t="s">
        <v>2317</v>
      </c>
    </row>
    <row r="940" spans="1:6" customHeight="1" ht="13.8">
      <c r="A940" t="s">
        <v>2322</v>
      </c>
      <c r="B940" t="s">
        <v>2323</v>
      </c>
      <c r="C940" s="1" t="s">
        <v>2324</v>
      </c>
      <c r="D940" t="s">
        <v>2325</v>
      </c>
      <c r="E940">
        <v>20000</v>
      </c>
      <c r="F940" t="s">
        <v>2317</v>
      </c>
    </row>
    <row r="941" spans="1:6" customHeight="1" ht="13.8">
      <c r="A941" t="s">
        <v>2326</v>
      </c>
      <c r="B941" t="s">
        <v>2327</v>
      </c>
      <c r="C941" s="1" t="s">
        <v>2328</v>
      </c>
      <c r="D941" t="s">
        <v>2329</v>
      </c>
      <c r="E941">
        <v>20000</v>
      </c>
      <c r="F941" t="s">
        <v>2317</v>
      </c>
    </row>
    <row r="942" spans="1:6" customHeight="1" ht="13.8">
      <c r="A942" t="s">
        <v>2330</v>
      </c>
      <c r="B942" t="s">
        <v>2327</v>
      </c>
      <c r="C942" s="1" t="s">
        <v>2328</v>
      </c>
      <c r="D942" t="s">
        <v>2331</v>
      </c>
      <c r="E942">
        <v>2500</v>
      </c>
      <c r="F942" t="s">
        <v>2317</v>
      </c>
    </row>
    <row r="943" spans="1:6" customHeight="1" ht="13.8">
      <c r="A943" t="s">
        <v>1632</v>
      </c>
      <c r="B943" t="s">
        <v>1633</v>
      </c>
      <c r="C943">
        <v>118453682</v>
      </c>
      <c r="D943" t="s">
        <v>1634</v>
      </c>
      <c r="E943">
        <v>25000</v>
      </c>
      <c r="F943" t="s">
        <v>2332</v>
      </c>
    </row>
    <row r="944" spans="1:6" customHeight="1" ht="13.8">
      <c r="A944" t="s">
        <v>92</v>
      </c>
      <c r="B944" t="s">
        <v>93</v>
      </c>
      <c r="C944" s="1" t="s">
        <v>94</v>
      </c>
      <c r="D944" t="s">
        <v>95</v>
      </c>
      <c r="E944">
        <v>5000</v>
      </c>
      <c r="F944" t="s">
        <v>2333</v>
      </c>
    </row>
    <row r="945" spans="1:6" customHeight="1" ht="13.8">
      <c r="A945" t="s">
        <v>84</v>
      </c>
      <c r="B945" t="s">
        <v>85</v>
      </c>
      <c r="C945" s="1" t="s">
        <v>86</v>
      </c>
      <c r="D945" t="s">
        <v>87</v>
      </c>
      <c r="E945">
        <v>5000</v>
      </c>
      <c r="F945" t="s">
        <v>2333</v>
      </c>
    </row>
    <row r="946" spans="1:6" customHeight="1" ht="13.8">
      <c r="A946" t="s">
        <v>2334</v>
      </c>
      <c r="B946" t="s">
        <v>2335</v>
      </c>
      <c r="C946">
        <v>143017325</v>
      </c>
      <c r="D946" t="s">
        <v>2336</v>
      </c>
      <c r="E946">
        <v>13000</v>
      </c>
      <c r="F946" t="s">
        <v>2337</v>
      </c>
    </row>
    <row r="947" spans="1:6" customHeight="1" ht="13.8">
      <c r="A947" t="s">
        <v>2090</v>
      </c>
      <c r="B947" t="s">
        <v>2091</v>
      </c>
      <c r="C947" s="1" t="s">
        <v>2092</v>
      </c>
      <c r="D947" t="s">
        <v>2093</v>
      </c>
      <c r="E947">
        <v>25000</v>
      </c>
      <c r="F947" t="s">
        <v>2338</v>
      </c>
    </row>
    <row r="948" spans="1:6" customHeight="1" ht="13.8">
      <c r="A948" t="s">
        <v>2339</v>
      </c>
      <c r="B948" t="s">
        <v>2340</v>
      </c>
      <c r="C948">
        <v>111646580</v>
      </c>
      <c r="D948" t="s">
        <v>1297</v>
      </c>
      <c r="E948">
        <v>25000</v>
      </c>
      <c r="F948" t="s">
        <v>2338</v>
      </c>
    </row>
    <row r="949" spans="1:6" customHeight="1" ht="13.8">
      <c r="A949" t="s">
        <v>280</v>
      </c>
      <c r="B949" t="s">
        <v>281</v>
      </c>
      <c r="C949" s="1" t="s">
        <v>282</v>
      </c>
      <c r="D949" t="s">
        <v>283</v>
      </c>
      <c r="E949">
        <v>34000</v>
      </c>
      <c r="F949" t="s">
        <v>2341</v>
      </c>
    </row>
    <row r="950" spans="1:6" customHeight="1" ht="13.8">
      <c r="A950" t="s">
        <v>2342</v>
      </c>
      <c r="B950" t="s">
        <v>2343</v>
      </c>
      <c r="C950">
        <v>114115186</v>
      </c>
      <c r="D950" t="s">
        <v>2344</v>
      </c>
      <c r="E950">
        <v>2500</v>
      </c>
      <c r="F950" t="s">
        <v>2345</v>
      </c>
    </row>
    <row r="951" spans="1:6" customHeight="1" ht="13.8">
      <c r="A951" t="s">
        <v>2346</v>
      </c>
      <c r="B951" t="s">
        <v>2347</v>
      </c>
      <c r="C951" s="1" t="s">
        <v>2348</v>
      </c>
      <c r="D951" t="s">
        <v>2349</v>
      </c>
      <c r="E951">
        <v>2500</v>
      </c>
      <c r="F951" t="s">
        <v>2345</v>
      </c>
    </row>
    <row r="952" spans="1:6" customHeight="1" ht="13.8">
      <c r="A952" t="s">
        <v>2350</v>
      </c>
      <c r="B952" t="s">
        <v>2351</v>
      </c>
      <c r="C952" s="1" t="s">
        <v>2352</v>
      </c>
      <c r="D952" t="s">
        <v>2353</v>
      </c>
      <c r="E952">
        <v>2500</v>
      </c>
      <c r="F952" t="s">
        <v>2345</v>
      </c>
    </row>
    <row r="953" spans="1:6" customHeight="1" ht="13.8">
      <c r="A953" t="s">
        <v>2354</v>
      </c>
      <c r="B953" t="s">
        <v>2355</v>
      </c>
      <c r="C953" s="1" t="s">
        <v>2356</v>
      </c>
      <c r="D953" t="s">
        <v>2357</v>
      </c>
      <c r="E953">
        <v>2500</v>
      </c>
      <c r="F953" t="s">
        <v>2345</v>
      </c>
    </row>
    <row r="954" spans="1:6" customHeight="1" ht="13.8">
      <c r="A954" t="s">
        <v>2358</v>
      </c>
      <c r="B954" t="s">
        <v>2359</v>
      </c>
      <c r="C954" s="1" t="s">
        <v>2360</v>
      </c>
      <c r="D954" t="s">
        <v>2361</v>
      </c>
      <c r="E954">
        <v>2500</v>
      </c>
      <c r="F954" t="s">
        <v>2345</v>
      </c>
    </row>
    <row r="955" spans="1:6" customHeight="1" ht="13.8">
      <c r="A955" t="s">
        <v>2362</v>
      </c>
      <c r="B955" t="s">
        <v>2363</v>
      </c>
      <c r="C955">
        <v>108082957</v>
      </c>
      <c r="D955" t="s">
        <v>2364</v>
      </c>
      <c r="E955">
        <v>2500</v>
      </c>
      <c r="F955" t="s">
        <v>2345</v>
      </c>
    </row>
    <row r="956" spans="1:6" customHeight="1" ht="13.8">
      <c r="A956" t="s">
        <v>2365</v>
      </c>
      <c r="B956" t="s">
        <v>2366</v>
      </c>
      <c r="C956" s="1" t="s">
        <v>2367</v>
      </c>
      <c r="D956" t="s">
        <v>2368</v>
      </c>
      <c r="E956">
        <v>2500</v>
      </c>
      <c r="F956" t="s">
        <v>2345</v>
      </c>
    </row>
    <row r="957" spans="1:6" customHeight="1" ht="13.8">
      <c r="A957" t="s">
        <v>2369</v>
      </c>
      <c r="B957" t="s">
        <v>2370</v>
      </c>
      <c r="C957" s="1" t="s">
        <v>2371</v>
      </c>
      <c r="D957" t="s">
        <v>2372</v>
      </c>
      <c r="E957">
        <v>2500</v>
      </c>
      <c r="F957" t="s">
        <v>2345</v>
      </c>
    </row>
    <row r="958" spans="1:6" customHeight="1" ht="13.8">
      <c r="A958" t="s">
        <v>1366</v>
      </c>
      <c r="B958" t="s">
        <v>1367</v>
      </c>
      <c r="C958" s="1" t="s">
        <v>1368</v>
      </c>
      <c r="D958" t="s">
        <v>1369</v>
      </c>
      <c r="E958">
        <v>2500</v>
      </c>
      <c r="F958" t="s">
        <v>2345</v>
      </c>
    </row>
    <row r="959" spans="1:6" customHeight="1" ht="13.8">
      <c r="A959" t="s">
        <v>2373</v>
      </c>
      <c r="B959" t="s">
        <v>2374</v>
      </c>
      <c r="C959">
        <v>108170067</v>
      </c>
      <c r="D959" t="s">
        <v>2375</v>
      </c>
      <c r="E959">
        <v>2500</v>
      </c>
      <c r="F959" t="s">
        <v>2345</v>
      </c>
    </row>
    <row r="960" spans="1:6" customHeight="1" ht="13.8">
      <c r="A960" t="s">
        <v>2376</v>
      </c>
      <c r="B960" t="s">
        <v>2377</v>
      </c>
      <c r="C960" s="1" t="s">
        <v>2378</v>
      </c>
      <c r="D960" t="s">
        <v>2379</v>
      </c>
      <c r="E960">
        <v>2500</v>
      </c>
      <c r="F960" t="s">
        <v>2345</v>
      </c>
    </row>
    <row r="961" spans="1:6" customHeight="1" ht="13.8">
      <c r="A961" t="s">
        <v>2380</v>
      </c>
      <c r="B961" t="s">
        <v>2381</v>
      </c>
      <c r="C961" s="1" t="s">
        <v>2382</v>
      </c>
      <c r="D961" t="s">
        <v>2383</v>
      </c>
      <c r="E961">
        <v>2500</v>
      </c>
      <c r="F961" t="s">
        <v>2345</v>
      </c>
    </row>
    <row r="962" spans="1:6" customHeight="1" ht="13.8">
      <c r="A962" t="s">
        <v>2384</v>
      </c>
      <c r="B962" t="s">
        <v>2385</v>
      </c>
      <c r="C962">
        <v>122229642</v>
      </c>
      <c r="D962" t="s">
        <v>2386</v>
      </c>
      <c r="E962">
        <v>13000</v>
      </c>
      <c r="F962" t="s">
        <v>2387</v>
      </c>
    </row>
    <row r="963" spans="1:6" customHeight="1" ht="13.8">
      <c r="A963" t="s">
        <v>2388</v>
      </c>
      <c r="B963" t="s">
        <v>2389</v>
      </c>
      <c r="C963">
        <v>108388912</v>
      </c>
      <c r="D963" t="s">
        <v>2390</v>
      </c>
      <c r="E963">
        <v>39000</v>
      </c>
      <c r="F963" t="s">
        <v>2391</v>
      </c>
    </row>
    <row r="964" spans="1:6" customHeight="1" ht="13.8">
      <c r="A964" t="s">
        <v>250</v>
      </c>
      <c r="B964" t="s">
        <v>251</v>
      </c>
      <c r="C964" s="1" t="s">
        <v>252</v>
      </c>
      <c r="D964" t="s">
        <v>253</v>
      </c>
      <c r="E964">
        <v>18000</v>
      </c>
      <c r="F964" t="s">
        <v>2392</v>
      </c>
    </row>
    <row r="965" spans="1:6" customHeight="1" ht="13.8">
      <c r="A965" t="s">
        <v>2393</v>
      </c>
      <c r="B965" t="s">
        <v>2394</v>
      </c>
      <c r="C965" s="1" t="s">
        <v>2395</v>
      </c>
      <c r="D965" t="s">
        <v>2396</v>
      </c>
      <c r="E965">
        <v>2000</v>
      </c>
      <c r="F965" t="s">
        <v>2397</v>
      </c>
    </row>
    <row r="966" spans="1:6" customHeight="1" ht="13.8">
      <c r="A966" t="s">
        <v>2398</v>
      </c>
      <c r="B966" t="s">
        <v>2399</v>
      </c>
      <c r="C966">
        <v>118621281</v>
      </c>
      <c r="D966" t="s">
        <v>2400</v>
      </c>
      <c r="E966">
        <v>10000</v>
      </c>
      <c r="F966" t="s">
        <v>2401</v>
      </c>
    </row>
    <row r="967" spans="1:6" customHeight="1" ht="13.8">
      <c r="A967" t="s">
        <v>202</v>
      </c>
      <c r="B967" t="s">
        <v>203</v>
      </c>
      <c r="C967" s="1" t="s">
        <v>204</v>
      </c>
      <c r="D967" t="s">
        <v>205</v>
      </c>
      <c r="E967">
        <v>5000</v>
      </c>
      <c r="F967" t="s">
        <v>2402</v>
      </c>
    </row>
    <row r="968" spans="1:6" customHeight="1" ht="13.8">
      <c r="A968" t="s">
        <v>105</v>
      </c>
      <c r="B968" t="s">
        <v>106</v>
      </c>
      <c r="C968" s="1" t="s">
        <v>107</v>
      </c>
      <c r="D968" t="s">
        <v>108</v>
      </c>
      <c r="E968">
        <v>350</v>
      </c>
      <c r="F968" t="s">
        <v>2403</v>
      </c>
    </row>
    <row r="969" spans="1:6" customHeight="1" ht="13.8">
      <c r="A969" t="s">
        <v>2404</v>
      </c>
      <c r="B969" t="s">
        <v>2405</v>
      </c>
      <c r="C969">
        <v>121032254</v>
      </c>
      <c r="D969" t="s">
        <v>2406</v>
      </c>
      <c r="E969">
        <v>12000</v>
      </c>
      <c r="F969" t="s">
        <v>2407</v>
      </c>
    </row>
    <row r="970" spans="1:6" customHeight="1" ht="13.8">
      <c r="A970" t="s">
        <v>2408</v>
      </c>
      <c r="B970" t="s">
        <v>2409</v>
      </c>
      <c r="C970" s="1" t="s">
        <v>2410</v>
      </c>
      <c r="D970" t="s">
        <v>2411</v>
      </c>
      <c r="E970">
        <v>3500</v>
      </c>
      <c r="F970" t="s">
        <v>1373</v>
      </c>
    </row>
    <row r="971" spans="1:6" customHeight="1" ht="13.8">
      <c r="A971" t="s">
        <v>2412</v>
      </c>
      <c r="B971" t="s">
        <v>2413</v>
      </c>
      <c r="C971">
        <v>109450962</v>
      </c>
      <c r="D971" t="s">
        <v>2414</v>
      </c>
      <c r="E971">
        <v>3500</v>
      </c>
      <c r="F971" t="s">
        <v>1373</v>
      </c>
    </row>
    <row r="972" spans="1:6" customHeight="1" ht="13.8">
      <c r="A972" t="s">
        <v>2415</v>
      </c>
      <c r="B972" t="s">
        <v>2416</v>
      </c>
      <c r="C972" s="1" t="s">
        <v>2417</v>
      </c>
      <c r="D972" t="s">
        <v>2418</v>
      </c>
      <c r="E972">
        <v>3500</v>
      </c>
      <c r="F972" t="s">
        <v>1373</v>
      </c>
    </row>
    <row r="973" spans="1:6" customHeight="1" ht="13.8">
      <c r="A973" t="s">
        <v>2419</v>
      </c>
      <c r="B973" t="s">
        <v>2420</v>
      </c>
      <c r="C973" s="1" t="s">
        <v>2421</v>
      </c>
      <c r="D973" t="s">
        <v>2422</v>
      </c>
      <c r="E973">
        <v>3500</v>
      </c>
      <c r="F973" t="s">
        <v>1373</v>
      </c>
    </row>
    <row r="974" spans="1:6" customHeight="1" ht="13.8">
      <c r="A974" t="s">
        <v>2423</v>
      </c>
      <c r="B974" t="s">
        <v>2424</v>
      </c>
      <c r="C974" s="1" t="s">
        <v>2425</v>
      </c>
      <c r="D974" t="s">
        <v>2426</v>
      </c>
      <c r="E974">
        <v>3500</v>
      </c>
      <c r="F974" t="s">
        <v>1373</v>
      </c>
    </row>
    <row r="975" spans="1:6" customHeight="1" ht="13.8">
      <c r="A975" t="s">
        <v>2427</v>
      </c>
      <c r="B975" t="s">
        <v>2428</v>
      </c>
      <c r="C975" s="1" t="s">
        <v>2429</v>
      </c>
      <c r="D975" t="s">
        <v>2430</v>
      </c>
      <c r="E975">
        <v>3500</v>
      </c>
      <c r="F975" t="s">
        <v>1373</v>
      </c>
    </row>
    <row r="976" spans="1:6" customHeight="1" ht="13.8">
      <c r="A976" t="s">
        <v>2431</v>
      </c>
      <c r="B976" t="s">
        <v>2432</v>
      </c>
      <c r="C976" s="1" t="s">
        <v>2433</v>
      </c>
      <c r="D976" t="s">
        <v>2434</v>
      </c>
      <c r="E976">
        <v>3500</v>
      </c>
      <c r="F976" t="s">
        <v>1373</v>
      </c>
    </row>
    <row r="977" spans="1:6" customHeight="1" ht="13.8">
      <c r="A977" t="s">
        <v>1632</v>
      </c>
      <c r="B977" t="s">
        <v>1633</v>
      </c>
      <c r="C977">
        <v>118453682</v>
      </c>
      <c r="D977" t="s">
        <v>1634</v>
      </c>
      <c r="E977">
        <v>5500</v>
      </c>
      <c r="F977" t="s">
        <v>2435</v>
      </c>
    </row>
    <row r="978" spans="1:6" customHeight="1" ht="13.8">
      <c r="A978" t="s">
        <v>2068</v>
      </c>
      <c r="B978" t="s">
        <v>2069</v>
      </c>
      <c r="C978" s="1" t="s">
        <v>2070</v>
      </c>
      <c r="D978" t="s">
        <v>2071</v>
      </c>
      <c r="E978">
        <v>5500</v>
      </c>
      <c r="F978" t="s">
        <v>2435</v>
      </c>
    </row>
    <row r="979" spans="1:6" customHeight="1" ht="13.8">
      <c r="A979" t="s">
        <v>92</v>
      </c>
      <c r="B979" t="s">
        <v>93</v>
      </c>
      <c r="C979" s="1" t="s">
        <v>94</v>
      </c>
      <c r="D979" t="s">
        <v>95</v>
      </c>
      <c r="E979">
        <v>5500</v>
      </c>
      <c r="F979" t="s">
        <v>2435</v>
      </c>
    </row>
    <row r="980" spans="1:6" customHeight="1" ht="13.8">
      <c r="A980" t="s">
        <v>336</v>
      </c>
      <c r="B980" t="s">
        <v>337</v>
      </c>
      <c r="C980" s="1" t="s">
        <v>338</v>
      </c>
      <c r="D980" t="s">
        <v>339</v>
      </c>
      <c r="E980">
        <v>5500</v>
      </c>
      <c r="F980" t="s">
        <v>2435</v>
      </c>
    </row>
    <row r="981" spans="1:6" customHeight="1" ht="13.8">
      <c r="A981" t="s">
        <v>2436</v>
      </c>
      <c r="B981" t="s">
        <v>2437</v>
      </c>
      <c r="C981" s="1" t="s">
        <v>2438</v>
      </c>
      <c r="D981" t="s">
        <v>2439</v>
      </c>
      <c r="E981">
        <v>5000</v>
      </c>
      <c r="F981" t="s">
        <v>2440</v>
      </c>
    </row>
    <row r="982" spans="1:6" customHeight="1" ht="13.8">
      <c r="A982" t="s">
        <v>171</v>
      </c>
      <c r="B982" t="s">
        <v>172</v>
      </c>
      <c r="C982" s="1" t="s">
        <v>173</v>
      </c>
      <c r="D982" t="s">
        <v>174</v>
      </c>
      <c r="E982">
        <v>5000</v>
      </c>
      <c r="F982" t="s">
        <v>2440</v>
      </c>
    </row>
    <row r="983" spans="1:6" customHeight="1" ht="13.8">
      <c r="A983" t="s">
        <v>2060</v>
      </c>
      <c r="B983" t="s">
        <v>2061</v>
      </c>
      <c r="C983" s="1" t="s">
        <v>2062</v>
      </c>
      <c r="D983" t="s">
        <v>2063</v>
      </c>
      <c r="E983">
        <v>12000</v>
      </c>
      <c r="F983" t="s">
        <v>2441</v>
      </c>
    </row>
    <row r="984" spans="1:6" customHeight="1" ht="13.8">
      <c r="A984" t="s">
        <v>2442</v>
      </c>
      <c r="B984" t="s">
        <v>2443</v>
      </c>
      <c r="C984" s="1" t="s">
        <v>2444</v>
      </c>
      <c r="D984" t="s">
        <v>2445</v>
      </c>
      <c r="E984">
        <v>24000</v>
      </c>
      <c r="F984" t="s">
        <v>2446</v>
      </c>
    </row>
    <row r="985" spans="1:6" customHeight="1" ht="13.8">
      <c r="A985" t="s">
        <v>2447</v>
      </c>
      <c r="B985" t="s">
        <v>2448</v>
      </c>
      <c r="C985" s="1" t="s">
        <v>2449</v>
      </c>
      <c r="D985" t="s">
        <v>2450</v>
      </c>
      <c r="E985">
        <v>24000</v>
      </c>
      <c r="F985" t="s">
        <v>2446</v>
      </c>
    </row>
    <row r="986" spans="1:6" customHeight="1" ht="13.8">
      <c r="A986" t="s">
        <v>2451</v>
      </c>
      <c r="B986" t="s">
        <v>2452</v>
      </c>
      <c r="C986" s="1" t="s">
        <v>2453</v>
      </c>
      <c r="D986" t="s">
        <v>2454</v>
      </c>
      <c r="E986">
        <v>24000</v>
      </c>
      <c r="F986" t="s">
        <v>2446</v>
      </c>
    </row>
    <row r="987" spans="1:6" customHeight="1" ht="13.8">
      <c r="A987" t="s">
        <v>2455</v>
      </c>
      <c r="B987" t="s">
        <v>2456</v>
      </c>
      <c r="C987" s="1" t="s">
        <v>2457</v>
      </c>
      <c r="D987" t="s">
        <v>2458</v>
      </c>
      <c r="E987">
        <v>24000</v>
      </c>
      <c r="F987" t="s">
        <v>2446</v>
      </c>
    </row>
    <row r="988" spans="1:6" customHeight="1" ht="13.8">
      <c r="A988" t="s">
        <v>2459</v>
      </c>
      <c r="B988" t="s">
        <v>2460</v>
      </c>
      <c r="C988" s="1" t="s">
        <v>2461</v>
      </c>
      <c r="D988" t="s">
        <v>2462</v>
      </c>
      <c r="E988">
        <v>24000</v>
      </c>
      <c r="F988" t="s">
        <v>2446</v>
      </c>
    </row>
    <row r="989" spans="1:6" customHeight="1" ht="13.8">
      <c r="A989" t="s">
        <v>2463</v>
      </c>
      <c r="B989" t="s">
        <v>2464</v>
      </c>
      <c r="C989" s="1" t="s">
        <v>2465</v>
      </c>
      <c r="D989" t="s">
        <v>2466</v>
      </c>
      <c r="E989">
        <v>24000</v>
      </c>
      <c r="F989" t="s">
        <v>2446</v>
      </c>
    </row>
    <row r="990" spans="1:6" customHeight="1" ht="13.8">
      <c r="A990" t="s">
        <v>2467</v>
      </c>
      <c r="B990" t="s">
        <v>2468</v>
      </c>
      <c r="C990" s="1" t="s">
        <v>2469</v>
      </c>
      <c r="D990" t="s">
        <v>2470</v>
      </c>
      <c r="E990">
        <v>24000</v>
      </c>
      <c r="F990" t="s">
        <v>2446</v>
      </c>
    </row>
    <row r="991" spans="1:6" customHeight="1" ht="13.8">
      <c r="A991" t="s">
        <v>2471</v>
      </c>
      <c r="B991" t="s">
        <v>2472</v>
      </c>
      <c r="C991" s="1" t="s">
        <v>2473</v>
      </c>
      <c r="D991" t="s">
        <v>2474</v>
      </c>
      <c r="E991">
        <v>24000</v>
      </c>
      <c r="F991" t="s">
        <v>2446</v>
      </c>
    </row>
    <row r="992" spans="1:6" customHeight="1" ht="13.8">
      <c r="A992" t="s">
        <v>2475</v>
      </c>
      <c r="B992" t="s">
        <v>2476</v>
      </c>
      <c r="C992" s="1" t="s">
        <v>2477</v>
      </c>
      <c r="D992" t="s">
        <v>2478</v>
      </c>
      <c r="E992">
        <v>24000</v>
      </c>
      <c r="F992" t="s">
        <v>2446</v>
      </c>
    </row>
    <row r="993" spans="1:6" customHeight="1" ht="13.8">
      <c r="A993" t="s">
        <v>2479</v>
      </c>
      <c r="B993" t="s">
        <v>2480</v>
      </c>
      <c r="C993">
        <v>107651448</v>
      </c>
      <c r="D993" t="s">
        <v>2481</v>
      </c>
      <c r="E993">
        <v>24000</v>
      </c>
      <c r="F993" t="s">
        <v>2446</v>
      </c>
    </row>
    <row r="994" spans="1:6" customHeight="1" ht="13.8">
      <c r="A994" t="s">
        <v>2482</v>
      </c>
      <c r="B994" t="s">
        <v>2483</v>
      </c>
      <c r="C994">
        <v>115051478</v>
      </c>
      <c r="D994" t="s">
        <v>2484</v>
      </c>
      <c r="E994">
        <v>24000</v>
      </c>
      <c r="F994" t="s">
        <v>2446</v>
      </c>
    </row>
    <row r="995" spans="1:6" customHeight="1" ht="13.8">
      <c r="A995" t="s">
        <v>2485</v>
      </c>
      <c r="B995" t="s">
        <v>2486</v>
      </c>
      <c r="C995" s="1" t="s">
        <v>2487</v>
      </c>
      <c r="D995" t="s">
        <v>2488</v>
      </c>
      <c r="E995">
        <v>24000</v>
      </c>
      <c r="F995" t="s">
        <v>2446</v>
      </c>
    </row>
    <row r="996" spans="1:6" customHeight="1" ht="13.8">
      <c r="A996" t="s">
        <v>2489</v>
      </c>
      <c r="B996" t="s">
        <v>2490</v>
      </c>
      <c r="C996" s="1" t="s">
        <v>2491</v>
      </c>
      <c r="D996" t="s">
        <v>2492</v>
      </c>
      <c r="E996">
        <v>24000</v>
      </c>
      <c r="F996" t="s">
        <v>2493</v>
      </c>
    </row>
    <row r="997" spans="1:6" customHeight="1" ht="13.8">
      <c r="A997" t="s">
        <v>2494</v>
      </c>
      <c r="B997" t="s">
        <v>2495</v>
      </c>
      <c r="C997">
        <v>112242398</v>
      </c>
      <c r="D997" t="s">
        <v>2496</v>
      </c>
      <c r="E997">
        <v>24000</v>
      </c>
      <c r="F997" t="s">
        <v>2493</v>
      </c>
    </row>
    <row r="998" spans="1:6" customHeight="1" ht="13.8">
      <c r="A998" t="s">
        <v>2497</v>
      </c>
      <c r="B998" t="s">
        <v>2498</v>
      </c>
      <c r="C998">
        <v>120944866</v>
      </c>
      <c r="D998" t="s">
        <v>2499</v>
      </c>
      <c r="E998">
        <v>24000</v>
      </c>
      <c r="F998" t="s">
        <v>2493</v>
      </c>
    </row>
    <row r="999" spans="1:6" customHeight="1" ht="13.8">
      <c r="A999" t="s">
        <v>2500</v>
      </c>
      <c r="B999" t="s">
        <v>2501</v>
      </c>
      <c r="C999" s="1" t="s">
        <v>2502</v>
      </c>
      <c r="D999" t="s">
        <v>2503</v>
      </c>
      <c r="E999">
        <v>24000</v>
      </c>
      <c r="F999" t="s">
        <v>2493</v>
      </c>
    </row>
    <row r="1000" spans="1:6" customHeight="1" ht="13.8">
      <c r="A1000" t="s">
        <v>2504</v>
      </c>
      <c r="B1000" t="s">
        <v>2505</v>
      </c>
      <c r="C1000" s="1" t="s">
        <v>2506</v>
      </c>
      <c r="D1000" t="s">
        <v>2507</v>
      </c>
      <c r="E1000">
        <v>24000</v>
      </c>
      <c r="F1000" t="s">
        <v>2493</v>
      </c>
    </row>
    <row r="1001" spans="1:6" customHeight="1" ht="13.8">
      <c r="A1001" t="s">
        <v>255</v>
      </c>
      <c r="B1001" t="s">
        <v>256</v>
      </c>
      <c r="C1001" s="1" t="s">
        <v>257</v>
      </c>
      <c r="D1001" t="s">
        <v>258</v>
      </c>
      <c r="E1001">
        <v>24000</v>
      </c>
      <c r="F1001" t="s">
        <v>2493</v>
      </c>
    </row>
    <row r="1002" spans="1:6" customHeight="1" ht="13.8">
      <c r="A1002" t="s">
        <v>2508</v>
      </c>
      <c r="B1002" t="s">
        <v>2509</v>
      </c>
      <c r="C1002" s="1" t="s">
        <v>2510</v>
      </c>
      <c r="D1002" t="s">
        <v>2511</v>
      </c>
      <c r="E1002">
        <v>24000</v>
      </c>
      <c r="F1002" t="s">
        <v>2493</v>
      </c>
    </row>
    <row r="1003" spans="1:6" customHeight="1" ht="13.8">
      <c r="A1003" t="s">
        <v>2512</v>
      </c>
      <c r="B1003" t="s">
        <v>2513</v>
      </c>
      <c r="C1003" s="1" t="s">
        <v>2514</v>
      </c>
      <c r="D1003" t="s">
        <v>2515</v>
      </c>
      <c r="E1003">
        <v>24000</v>
      </c>
      <c r="F1003" t="s">
        <v>2493</v>
      </c>
    </row>
    <row r="1004" spans="1:6" customHeight="1" ht="13.8">
      <c r="A1004" t="s">
        <v>2516</v>
      </c>
      <c r="B1004" t="s">
        <v>2517</v>
      </c>
      <c r="C1004" s="1" t="s">
        <v>2518</v>
      </c>
      <c r="D1004" t="s">
        <v>2519</v>
      </c>
      <c r="E1004">
        <v>24000</v>
      </c>
      <c r="F1004" t="s">
        <v>2493</v>
      </c>
    </row>
    <row r="1005" spans="1:6" customHeight="1" ht="13.8">
      <c r="A1005" t="s">
        <v>2520</v>
      </c>
      <c r="B1005" t="s">
        <v>2521</v>
      </c>
      <c r="C1005" s="1" t="s">
        <v>2522</v>
      </c>
      <c r="D1005" t="s">
        <v>2523</v>
      </c>
      <c r="E1005">
        <v>24000</v>
      </c>
      <c r="F1005" t="s">
        <v>2493</v>
      </c>
    </row>
    <row r="1006" spans="1:6" customHeight="1" ht="13.8">
      <c r="A1006" t="s">
        <v>2524</v>
      </c>
      <c r="B1006" t="s">
        <v>2525</v>
      </c>
      <c r="C1006" s="1" t="s">
        <v>2526</v>
      </c>
      <c r="D1006" t="s">
        <v>2527</v>
      </c>
      <c r="E1006">
        <v>24000</v>
      </c>
      <c r="F1006" t="s">
        <v>2493</v>
      </c>
    </row>
    <row r="1007" spans="1:6" customHeight="1" ht="13.8">
      <c r="A1007" t="s">
        <v>2528</v>
      </c>
      <c r="B1007" t="s">
        <v>2529</v>
      </c>
      <c r="C1007" s="1" t="s">
        <v>2530</v>
      </c>
      <c r="D1007" t="s">
        <v>2531</v>
      </c>
      <c r="E1007">
        <v>24000</v>
      </c>
      <c r="F1007" t="s">
        <v>2493</v>
      </c>
    </row>
    <row r="1008" spans="1:6" customHeight="1" ht="13.8">
      <c r="A1008" t="s">
        <v>2532</v>
      </c>
      <c r="B1008" t="s">
        <v>2533</v>
      </c>
      <c r="C1008">
        <v>115221648</v>
      </c>
      <c r="D1008" t="s">
        <v>2534</v>
      </c>
      <c r="E1008">
        <v>24000</v>
      </c>
      <c r="F1008" t="s">
        <v>2493</v>
      </c>
    </row>
    <row r="1009" spans="1:6" customHeight="1" ht="13.8">
      <c r="A1009" t="s">
        <v>2535</v>
      </c>
      <c r="B1009" t="s">
        <v>2536</v>
      </c>
      <c r="C1009" s="1" t="s">
        <v>2537</v>
      </c>
      <c r="D1009" t="s">
        <v>2538</v>
      </c>
      <c r="E1009">
        <v>24000</v>
      </c>
      <c r="F1009" t="s">
        <v>2493</v>
      </c>
    </row>
    <row r="1010" spans="1:6" customHeight="1" ht="13.8">
      <c r="A1010" t="s">
        <v>2539</v>
      </c>
      <c r="B1010" t="s">
        <v>2540</v>
      </c>
      <c r="C1010" s="1" t="s">
        <v>2541</v>
      </c>
      <c r="D1010" t="s">
        <v>2542</v>
      </c>
      <c r="E1010">
        <v>24000</v>
      </c>
      <c r="F1010" t="s">
        <v>2493</v>
      </c>
    </row>
    <row r="1011" spans="1:6" customHeight="1" ht="13.8">
      <c r="A1011" t="s">
        <v>2543</v>
      </c>
      <c r="B1011" t="s">
        <v>2544</v>
      </c>
      <c r="C1011" s="1" t="s">
        <v>2545</v>
      </c>
      <c r="D1011" t="s">
        <v>2546</v>
      </c>
      <c r="E1011">
        <v>24000</v>
      </c>
      <c r="F1011" t="s">
        <v>2493</v>
      </c>
    </row>
    <row r="1012" spans="1:6" customHeight="1" ht="13.8">
      <c r="A1012" t="s">
        <v>2547</v>
      </c>
      <c r="B1012" t="s">
        <v>2548</v>
      </c>
      <c r="C1012" s="1" t="s">
        <v>2549</v>
      </c>
      <c r="D1012" t="s">
        <v>2550</v>
      </c>
      <c r="E1012">
        <v>38000</v>
      </c>
      <c r="F1012" t="s">
        <v>2551</v>
      </c>
    </row>
    <row r="1013" spans="1:6" customHeight="1" ht="13.8">
      <c r="A1013" t="s">
        <v>2552</v>
      </c>
      <c r="B1013" t="s">
        <v>2553</v>
      </c>
      <c r="C1013" s="1" t="s">
        <v>2554</v>
      </c>
      <c r="D1013" t="s">
        <v>2555</v>
      </c>
      <c r="E1013">
        <v>38000</v>
      </c>
      <c r="F1013" t="s">
        <v>2551</v>
      </c>
    </row>
    <row r="1014" spans="1:6" customHeight="1" ht="13.8">
      <c r="A1014" t="s">
        <v>2556</v>
      </c>
      <c r="B1014" t="s">
        <v>2557</v>
      </c>
      <c r="C1014" s="1" t="s">
        <v>2558</v>
      </c>
      <c r="D1014" t="s">
        <v>2559</v>
      </c>
      <c r="E1014">
        <v>38000</v>
      </c>
      <c r="F1014" t="s">
        <v>2551</v>
      </c>
    </row>
    <row r="1015" spans="1:6" customHeight="1" ht="13.8">
      <c r="A1015" t="s">
        <v>2560</v>
      </c>
      <c r="B1015" t="s">
        <v>2561</v>
      </c>
      <c r="C1015">
        <v>126332669</v>
      </c>
      <c r="D1015" t="s">
        <v>2562</v>
      </c>
      <c r="E1015">
        <v>38000</v>
      </c>
      <c r="F1015" t="s">
        <v>2551</v>
      </c>
    </row>
    <row r="1016" spans="1:6" customHeight="1" ht="13.8">
      <c r="A1016" t="s">
        <v>2563</v>
      </c>
      <c r="B1016" t="s">
        <v>2564</v>
      </c>
      <c r="C1016" s="1" t="s">
        <v>2565</v>
      </c>
      <c r="D1016" t="s">
        <v>2566</v>
      </c>
      <c r="E1016">
        <v>38000</v>
      </c>
      <c r="F1016" t="s">
        <v>2551</v>
      </c>
    </row>
    <row r="1017" spans="1:6" customHeight="1" ht="13.8">
      <c r="A1017" t="s">
        <v>2567</v>
      </c>
      <c r="B1017" t="s">
        <v>2568</v>
      </c>
      <c r="C1017" s="1" t="s">
        <v>2569</v>
      </c>
      <c r="D1017" t="s">
        <v>2570</v>
      </c>
      <c r="E1017">
        <v>38000</v>
      </c>
      <c r="F1017" t="s">
        <v>2551</v>
      </c>
    </row>
    <row r="1018" spans="1:6" customHeight="1" ht="13.8">
      <c r="A1018" t="s">
        <v>2571</v>
      </c>
      <c r="B1018" t="s">
        <v>2572</v>
      </c>
      <c r="C1018" s="1" t="s">
        <v>2573</v>
      </c>
      <c r="D1018" t="s">
        <v>2574</v>
      </c>
      <c r="E1018">
        <v>38000</v>
      </c>
      <c r="F1018" t="s">
        <v>2551</v>
      </c>
    </row>
    <row r="1019" spans="1:6" customHeight="1" ht="13.8">
      <c r="A1019" t="s">
        <v>2575</v>
      </c>
      <c r="B1019" t="s">
        <v>2576</v>
      </c>
      <c r="C1019">
        <v>106748228</v>
      </c>
      <c r="D1019" t="s">
        <v>2577</v>
      </c>
      <c r="E1019">
        <v>38000</v>
      </c>
      <c r="F1019" t="s">
        <v>2551</v>
      </c>
    </row>
    <row r="1020" spans="1:6" customHeight="1" ht="13.8">
      <c r="A1020" t="s">
        <v>2578</v>
      </c>
      <c r="B1020" t="s">
        <v>2579</v>
      </c>
      <c r="C1020">
        <v>109223049</v>
      </c>
      <c r="D1020" t="s">
        <v>2580</v>
      </c>
      <c r="E1020">
        <v>38000</v>
      </c>
      <c r="F1020" t="s">
        <v>2551</v>
      </c>
    </row>
    <row r="1021" spans="1:6" customHeight="1" ht="13.8">
      <c r="A1021" t="s">
        <v>2581</v>
      </c>
      <c r="B1021" t="s">
        <v>2582</v>
      </c>
      <c r="C1021">
        <v>105708735</v>
      </c>
      <c r="D1021" t="s">
        <v>2583</v>
      </c>
      <c r="E1021">
        <v>38000</v>
      </c>
      <c r="F1021" t="s">
        <v>2551</v>
      </c>
    </row>
    <row r="1022" spans="1:6" customHeight="1" ht="13.8">
      <c r="A1022" t="s">
        <v>2584</v>
      </c>
      <c r="B1022" t="s">
        <v>2585</v>
      </c>
      <c r="C1022" s="1" t="s">
        <v>2586</v>
      </c>
      <c r="D1022" t="s">
        <v>2587</v>
      </c>
      <c r="E1022">
        <v>38000</v>
      </c>
      <c r="F1022" t="s">
        <v>2551</v>
      </c>
    </row>
    <row r="1023" spans="1:6" customHeight="1" ht="13.8">
      <c r="A1023" t="s">
        <v>2588</v>
      </c>
      <c r="B1023" t="s">
        <v>2589</v>
      </c>
      <c r="C1023" s="1" t="s">
        <v>2590</v>
      </c>
      <c r="D1023" t="s">
        <v>2591</v>
      </c>
      <c r="E1023">
        <v>38000</v>
      </c>
      <c r="F1023" t="s">
        <v>2551</v>
      </c>
    </row>
    <row r="1024" spans="1:6" customHeight="1" ht="13.8">
      <c r="A1024" t="s">
        <v>2592</v>
      </c>
      <c r="B1024" t="s">
        <v>2593</v>
      </c>
      <c r="C1024" s="1" t="s">
        <v>2594</v>
      </c>
      <c r="D1024" t="s">
        <v>2595</v>
      </c>
      <c r="E1024">
        <v>38000</v>
      </c>
      <c r="F1024" t="s">
        <v>2551</v>
      </c>
    </row>
    <row r="1025" spans="1:6" customHeight="1" ht="13.8">
      <c r="A1025" t="s">
        <v>2596</v>
      </c>
      <c r="B1025" t="s">
        <v>2597</v>
      </c>
      <c r="C1025" s="1" t="s">
        <v>2598</v>
      </c>
      <c r="D1025" t="s">
        <v>2599</v>
      </c>
      <c r="E1025">
        <v>38000</v>
      </c>
      <c r="F1025" t="s">
        <v>2551</v>
      </c>
    </row>
    <row r="1026" spans="1:6" customHeight="1" ht="13.8">
      <c r="A1026" t="s">
        <v>2600</v>
      </c>
      <c r="B1026" t="s">
        <v>2601</v>
      </c>
      <c r="C1026" s="1" t="s">
        <v>2602</v>
      </c>
      <c r="D1026" t="s">
        <v>2603</v>
      </c>
      <c r="E1026">
        <v>38000</v>
      </c>
      <c r="F1026" t="s">
        <v>2551</v>
      </c>
    </row>
    <row r="1027" spans="1:6" customHeight="1" ht="13.8">
      <c r="A1027" t="s">
        <v>2604</v>
      </c>
      <c r="B1027" t="s">
        <v>2605</v>
      </c>
      <c r="C1027" s="1" t="s">
        <v>2606</v>
      </c>
      <c r="D1027" t="s">
        <v>2607</v>
      </c>
      <c r="E1027">
        <v>38000</v>
      </c>
      <c r="F1027" t="s">
        <v>2551</v>
      </c>
    </row>
    <row r="1028" spans="1:6" customHeight="1" ht="13.8">
      <c r="A1028" t="s">
        <v>2608</v>
      </c>
      <c r="B1028" t="s">
        <v>2609</v>
      </c>
      <c r="C1028" s="1" t="s">
        <v>2610</v>
      </c>
      <c r="D1028" t="s">
        <v>2611</v>
      </c>
      <c r="E1028">
        <v>38000</v>
      </c>
      <c r="F1028" t="s">
        <v>2551</v>
      </c>
    </row>
    <row r="1029" spans="1:6" customHeight="1" ht="13.8">
      <c r="A1029" t="s">
        <v>2612</v>
      </c>
      <c r="B1029" t="s">
        <v>2613</v>
      </c>
      <c r="C1029" s="1" t="s">
        <v>2614</v>
      </c>
      <c r="D1029" t="s">
        <v>2615</v>
      </c>
      <c r="E1029">
        <v>38000</v>
      </c>
      <c r="F1029" t="s">
        <v>2551</v>
      </c>
    </row>
    <row r="1030" spans="1:6" customHeight="1" ht="13.8">
      <c r="A1030" t="s">
        <v>2616</v>
      </c>
      <c r="B1030" t="s">
        <v>2617</v>
      </c>
      <c r="C1030" s="1" t="s">
        <v>2618</v>
      </c>
      <c r="D1030" t="s">
        <v>2619</v>
      </c>
      <c r="E1030">
        <v>38000</v>
      </c>
      <c r="F1030" t="s">
        <v>2551</v>
      </c>
    </row>
    <row r="1031" spans="1:6" customHeight="1" ht="13.8">
      <c r="A1031" t="s">
        <v>2620</v>
      </c>
      <c r="B1031" t="s">
        <v>2621</v>
      </c>
      <c r="C1031">
        <v>109487733</v>
      </c>
      <c r="D1031" t="s">
        <v>2622</v>
      </c>
      <c r="E1031">
        <v>38000</v>
      </c>
      <c r="F1031" t="s">
        <v>2551</v>
      </c>
    </row>
    <row r="1032" spans="1:6" customHeight="1" ht="13.8">
      <c r="A1032" t="s">
        <v>2623</v>
      </c>
      <c r="B1032" t="s">
        <v>2624</v>
      </c>
      <c r="C1032">
        <v>109423098</v>
      </c>
      <c r="D1032" t="s">
        <v>2625</v>
      </c>
      <c r="E1032">
        <v>38000</v>
      </c>
      <c r="F1032" t="s">
        <v>2551</v>
      </c>
    </row>
    <row r="1033" spans="1:6" customHeight="1" ht="13.8">
      <c r="A1033" t="s">
        <v>2626</v>
      </c>
      <c r="B1033" t="s">
        <v>2627</v>
      </c>
      <c r="C1033" s="1" t="s">
        <v>2628</v>
      </c>
      <c r="D1033" t="s">
        <v>2629</v>
      </c>
      <c r="E1033">
        <v>38000</v>
      </c>
      <c r="F1033" t="s">
        <v>2551</v>
      </c>
    </row>
    <row r="1034" spans="1:6" customHeight="1" ht="13.8">
      <c r="A1034" t="s">
        <v>2630</v>
      </c>
      <c r="B1034" t="s">
        <v>2631</v>
      </c>
      <c r="C1034" s="1" t="s">
        <v>2632</v>
      </c>
      <c r="D1034" t="s">
        <v>2629</v>
      </c>
      <c r="E1034">
        <v>38000</v>
      </c>
      <c r="F1034" t="s">
        <v>2551</v>
      </c>
    </row>
    <row r="1035" spans="1:6" customHeight="1" ht="13.8">
      <c r="A1035" t="s">
        <v>2633</v>
      </c>
      <c r="B1035" t="s">
        <v>2634</v>
      </c>
      <c r="C1035" s="1" t="s">
        <v>2635</v>
      </c>
      <c r="D1035" t="s">
        <v>2636</v>
      </c>
      <c r="E1035">
        <v>38000</v>
      </c>
      <c r="F1035" t="s">
        <v>2551</v>
      </c>
    </row>
    <row r="1036" spans="1:6" customHeight="1" ht="13.8">
      <c r="A1036" t="s">
        <v>2637</v>
      </c>
      <c r="B1036" t="s">
        <v>2638</v>
      </c>
      <c r="C1036" s="1" t="s">
        <v>2639</v>
      </c>
      <c r="D1036" t="s">
        <v>2640</v>
      </c>
      <c r="E1036">
        <v>38000</v>
      </c>
      <c r="F1036" t="s">
        <v>2551</v>
      </c>
    </row>
    <row r="1037" spans="1:6" customHeight="1" ht="13.8">
      <c r="A1037" t="s">
        <v>2641</v>
      </c>
      <c r="B1037" t="s">
        <v>2642</v>
      </c>
      <c r="C1037" s="1" t="s">
        <v>2643</v>
      </c>
      <c r="D1037" t="s">
        <v>2644</v>
      </c>
      <c r="E1037">
        <v>38000</v>
      </c>
      <c r="F1037" t="s">
        <v>2551</v>
      </c>
    </row>
    <row r="1038" spans="1:6" customHeight="1" ht="13.8">
      <c r="A1038" t="s">
        <v>2645</v>
      </c>
      <c r="B1038" t="s">
        <v>2646</v>
      </c>
      <c r="C1038">
        <v>116894023</v>
      </c>
      <c r="D1038" t="s">
        <v>2647</v>
      </c>
      <c r="E1038">
        <v>38000</v>
      </c>
      <c r="F1038" t="s">
        <v>2551</v>
      </c>
    </row>
    <row r="1039" spans="1:6" customHeight="1" ht="13.8">
      <c r="A1039" t="s">
        <v>2648</v>
      </c>
      <c r="B1039" t="s">
        <v>2649</v>
      </c>
      <c r="C1039" s="1" t="s">
        <v>2650</v>
      </c>
      <c r="D1039" t="s">
        <v>2651</v>
      </c>
      <c r="E1039">
        <v>38000</v>
      </c>
      <c r="F1039" t="s">
        <v>2551</v>
      </c>
    </row>
    <row r="1040" spans="1:6" customHeight="1" ht="13.8">
      <c r="A1040" t="s">
        <v>2652</v>
      </c>
      <c r="B1040" t="s">
        <v>2653</v>
      </c>
      <c r="C1040" s="1" t="s">
        <v>2654</v>
      </c>
      <c r="D1040" t="s">
        <v>2655</v>
      </c>
      <c r="E1040">
        <v>38000</v>
      </c>
      <c r="F1040" t="s">
        <v>2551</v>
      </c>
    </row>
    <row r="1041" spans="1:6" customHeight="1" ht="13.8">
      <c r="A1041" t="s">
        <v>2656</v>
      </c>
      <c r="B1041" t="s">
        <v>2657</v>
      </c>
      <c r="C1041" s="1" t="s">
        <v>2658</v>
      </c>
      <c r="D1041" t="s">
        <v>2659</v>
      </c>
      <c r="E1041">
        <v>38000</v>
      </c>
      <c r="F1041" t="s">
        <v>2660</v>
      </c>
    </row>
    <row r="1042" spans="1:6" customHeight="1" ht="13.8">
      <c r="A1042" t="s">
        <v>242</v>
      </c>
      <c r="B1042" t="s">
        <v>243</v>
      </c>
      <c r="C1042" s="1" t="s">
        <v>244</v>
      </c>
      <c r="D1042" t="s">
        <v>245</v>
      </c>
      <c r="E1042">
        <v>38000</v>
      </c>
      <c r="F1042" t="s">
        <v>2660</v>
      </c>
    </row>
    <row r="1043" spans="1:6" customHeight="1" ht="13.8">
      <c r="A1043" t="s">
        <v>2661</v>
      </c>
      <c r="B1043" t="s">
        <v>2662</v>
      </c>
      <c r="C1043" s="1" t="s">
        <v>2663</v>
      </c>
      <c r="D1043" t="s">
        <v>2664</v>
      </c>
      <c r="E1043">
        <v>38000</v>
      </c>
      <c r="F1043" t="s">
        <v>2660</v>
      </c>
    </row>
    <row r="1044" spans="1:6" customHeight="1" ht="13.8">
      <c r="A1044" t="s">
        <v>2665</v>
      </c>
      <c r="B1044" t="s">
        <v>2666</v>
      </c>
      <c r="C1044" s="1" t="s">
        <v>2667</v>
      </c>
      <c r="D1044" t="s">
        <v>2668</v>
      </c>
      <c r="E1044">
        <v>38000</v>
      </c>
      <c r="F1044" t="s">
        <v>2660</v>
      </c>
    </row>
    <row r="1045" spans="1:6" customHeight="1" ht="13.8">
      <c r="A1045" t="s">
        <v>2669</v>
      </c>
      <c r="B1045" t="s">
        <v>2670</v>
      </c>
      <c r="C1045" s="1" t="s">
        <v>2671</v>
      </c>
      <c r="D1045" t="s">
        <v>2672</v>
      </c>
      <c r="E1045">
        <v>38000</v>
      </c>
      <c r="F1045" t="s">
        <v>2660</v>
      </c>
    </row>
    <row r="1046" spans="1:6" customHeight="1" ht="13.8">
      <c r="A1046" t="s">
        <v>2673</v>
      </c>
      <c r="B1046" t="s">
        <v>2674</v>
      </c>
      <c r="C1046" s="1" t="s">
        <v>2675</v>
      </c>
      <c r="D1046" t="s">
        <v>2676</v>
      </c>
      <c r="E1046">
        <v>38000</v>
      </c>
      <c r="F1046" t="s">
        <v>2660</v>
      </c>
    </row>
    <row r="1047" spans="1:6" customHeight="1" ht="13.8">
      <c r="A1047" t="s">
        <v>2677</v>
      </c>
      <c r="B1047" t="s">
        <v>2678</v>
      </c>
      <c r="C1047" s="1" t="s">
        <v>2679</v>
      </c>
      <c r="D1047" t="s">
        <v>2680</v>
      </c>
      <c r="E1047">
        <v>38000</v>
      </c>
      <c r="F1047" t="s">
        <v>2660</v>
      </c>
    </row>
    <row r="1048" spans="1:6" customHeight="1" ht="13.8">
      <c r="A1048" t="s">
        <v>2681</v>
      </c>
      <c r="B1048" t="s">
        <v>2682</v>
      </c>
      <c r="C1048" s="1" t="s">
        <v>2683</v>
      </c>
      <c r="D1048" t="s">
        <v>2684</v>
      </c>
      <c r="E1048">
        <v>38000</v>
      </c>
      <c r="F1048" t="s">
        <v>2660</v>
      </c>
    </row>
    <row r="1049" spans="1:6" customHeight="1" ht="13.8">
      <c r="A1049" t="s">
        <v>2685</v>
      </c>
      <c r="B1049" t="s">
        <v>2686</v>
      </c>
      <c r="C1049" s="1" t="s">
        <v>2687</v>
      </c>
      <c r="D1049" t="s">
        <v>2688</v>
      </c>
      <c r="E1049">
        <v>38000</v>
      </c>
      <c r="F1049" t="s">
        <v>2660</v>
      </c>
    </row>
    <row r="1050" spans="1:6" customHeight="1" ht="13.8">
      <c r="A1050" t="s">
        <v>2689</v>
      </c>
      <c r="B1050" t="s">
        <v>2690</v>
      </c>
      <c r="C1050">
        <v>111225132</v>
      </c>
      <c r="D1050" t="s">
        <v>2691</v>
      </c>
      <c r="E1050">
        <v>38000</v>
      </c>
      <c r="F1050" t="s">
        <v>2660</v>
      </c>
    </row>
    <row r="1051" spans="1:6" customHeight="1" ht="13.8">
      <c r="A1051" t="s">
        <v>2692</v>
      </c>
      <c r="B1051" t="s">
        <v>2693</v>
      </c>
      <c r="C1051" s="1" t="s">
        <v>2694</v>
      </c>
      <c r="D1051" t="s">
        <v>2695</v>
      </c>
      <c r="E1051">
        <v>38000</v>
      </c>
      <c r="F1051" t="s">
        <v>2660</v>
      </c>
    </row>
    <row r="1052" spans="1:6" customHeight="1" ht="13.8">
      <c r="A1052" t="s">
        <v>2696</v>
      </c>
      <c r="B1052" t="s">
        <v>2697</v>
      </c>
      <c r="C1052" s="1" t="s">
        <v>2698</v>
      </c>
      <c r="D1052" t="s">
        <v>2699</v>
      </c>
      <c r="E1052">
        <v>38000</v>
      </c>
      <c r="F1052" t="s">
        <v>2660</v>
      </c>
    </row>
    <row r="1053" spans="1:6" customHeight="1" ht="13.8">
      <c r="A1053" t="s">
        <v>2700</v>
      </c>
      <c r="B1053" t="s">
        <v>2701</v>
      </c>
      <c r="C1053" s="1" t="s">
        <v>2702</v>
      </c>
      <c r="D1053" t="s">
        <v>2703</v>
      </c>
      <c r="E1053">
        <v>38000</v>
      </c>
      <c r="F1053" t="s">
        <v>2660</v>
      </c>
    </row>
    <row r="1054" spans="1:6" customHeight="1" ht="13.8">
      <c r="A1054" t="s">
        <v>2704</v>
      </c>
      <c r="B1054" t="s">
        <v>2705</v>
      </c>
      <c r="C1054" s="1" t="s">
        <v>2706</v>
      </c>
      <c r="D1054" t="s">
        <v>2707</v>
      </c>
      <c r="E1054">
        <v>38000</v>
      </c>
      <c r="F1054" t="s">
        <v>2660</v>
      </c>
    </row>
    <row r="1055" spans="1:6" customHeight="1" ht="13.8">
      <c r="A1055" t="s">
        <v>2708</v>
      </c>
      <c r="B1055" t="s">
        <v>2709</v>
      </c>
      <c r="C1055" s="1" t="s">
        <v>2710</v>
      </c>
      <c r="D1055" t="s">
        <v>2711</v>
      </c>
      <c r="E1055">
        <v>38000</v>
      </c>
      <c r="F1055" t="s">
        <v>2660</v>
      </c>
    </row>
    <row r="1056" spans="1:6" customHeight="1" ht="13.8">
      <c r="A1056" t="s">
        <v>2712</v>
      </c>
      <c r="B1056" t="s">
        <v>2713</v>
      </c>
      <c r="C1056" s="1" t="s">
        <v>2714</v>
      </c>
      <c r="D1056" t="s">
        <v>2715</v>
      </c>
      <c r="E1056">
        <v>38000</v>
      </c>
      <c r="F1056" t="s">
        <v>2660</v>
      </c>
    </row>
    <row r="1057" spans="1:6" customHeight="1" ht="13.8">
      <c r="A1057" t="s">
        <v>2716</v>
      </c>
      <c r="B1057" t="s">
        <v>2717</v>
      </c>
      <c r="C1057" s="1" t="s">
        <v>2718</v>
      </c>
      <c r="D1057" t="s">
        <v>2719</v>
      </c>
      <c r="E1057">
        <v>38000</v>
      </c>
      <c r="F1057" t="s">
        <v>2660</v>
      </c>
    </row>
    <row r="1058" spans="1:6" customHeight="1" ht="13.8">
      <c r="A1058" t="s">
        <v>2720</v>
      </c>
      <c r="B1058" t="s">
        <v>2721</v>
      </c>
      <c r="C1058" s="1" t="s">
        <v>2722</v>
      </c>
      <c r="D1058" t="s">
        <v>2723</v>
      </c>
      <c r="E1058">
        <v>38000</v>
      </c>
      <c r="F1058" t="s">
        <v>2660</v>
      </c>
    </row>
    <row r="1059" spans="1:6" customHeight="1" ht="13.8">
      <c r="A1059" t="s">
        <v>2724</v>
      </c>
      <c r="B1059" t="s">
        <v>2725</v>
      </c>
      <c r="C1059" s="1" t="s">
        <v>2726</v>
      </c>
      <c r="D1059" t="s">
        <v>2727</v>
      </c>
      <c r="E1059">
        <v>38000</v>
      </c>
      <c r="F1059" t="s">
        <v>2660</v>
      </c>
    </row>
    <row r="1060" spans="1:6" customHeight="1" ht="13.8">
      <c r="A1060" t="s">
        <v>2728</v>
      </c>
      <c r="B1060" t="s">
        <v>2729</v>
      </c>
      <c r="C1060" s="1" t="s">
        <v>2730</v>
      </c>
      <c r="D1060" t="s">
        <v>2731</v>
      </c>
      <c r="E1060">
        <v>38000</v>
      </c>
      <c r="F1060" t="s">
        <v>2660</v>
      </c>
    </row>
    <row r="1061" spans="1:6" customHeight="1" ht="13.8">
      <c r="A1061" t="s">
        <v>2732</v>
      </c>
      <c r="B1061" t="s">
        <v>2733</v>
      </c>
      <c r="C1061" s="1" t="s">
        <v>2734</v>
      </c>
      <c r="D1061" t="s">
        <v>2735</v>
      </c>
      <c r="E1061">
        <v>38000</v>
      </c>
      <c r="F1061" t="s">
        <v>2660</v>
      </c>
    </row>
    <row r="1062" spans="1:6" customHeight="1" ht="13.8">
      <c r="A1062" t="s">
        <v>2736</v>
      </c>
      <c r="B1062" t="s">
        <v>2737</v>
      </c>
      <c r="C1062" s="1" t="s">
        <v>2738</v>
      </c>
      <c r="D1062" t="s">
        <v>2739</v>
      </c>
      <c r="E1062">
        <v>38000</v>
      </c>
      <c r="F1062" t="s">
        <v>2660</v>
      </c>
    </row>
    <row r="1063" spans="1:6" customHeight="1" ht="13.8">
      <c r="A1063" t="s">
        <v>2740</v>
      </c>
      <c r="B1063" t="s">
        <v>2741</v>
      </c>
      <c r="C1063" s="1" t="s">
        <v>2742</v>
      </c>
      <c r="D1063" t="s">
        <v>2743</v>
      </c>
      <c r="E1063">
        <v>38000</v>
      </c>
      <c r="F1063" t="s">
        <v>2660</v>
      </c>
    </row>
    <row r="1064" spans="1:6" customHeight="1" ht="13.8">
      <c r="A1064" t="s">
        <v>2744</v>
      </c>
      <c r="B1064" t="s">
        <v>2745</v>
      </c>
      <c r="C1064" s="1" t="s">
        <v>2746</v>
      </c>
      <c r="D1064" t="s">
        <v>2063</v>
      </c>
      <c r="E1064">
        <v>38000</v>
      </c>
      <c r="F1064" t="s">
        <v>2660</v>
      </c>
    </row>
    <row r="1065" spans="1:6" customHeight="1" ht="13.8">
      <c r="A1065" t="s">
        <v>2747</v>
      </c>
      <c r="B1065" t="s">
        <v>2748</v>
      </c>
      <c r="C1065" s="1" t="s">
        <v>2749</v>
      </c>
      <c r="D1065" t="s">
        <v>2750</v>
      </c>
      <c r="E1065">
        <v>38000</v>
      </c>
      <c r="F1065" t="s">
        <v>2660</v>
      </c>
    </row>
    <row r="1066" spans="1:6" customHeight="1" ht="13.8">
      <c r="A1066" t="s">
        <v>2751</v>
      </c>
      <c r="B1066" t="s">
        <v>2752</v>
      </c>
      <c r="C1066" s="1" t="s">
        <v>2753</v>
      </c>
      <c r="D1066" t="s">
        <v>2754</v>
      </c>
      <c r="E1066">
        <v>38000</v>
      </c>
      <c r="F1066" t="s">
        <v>2660</v>
      </c>
    </row>
    <row r="1067" spans="1:6" customHeight="1" ht="13.8">
      <c r="A1067" t="s">
        <v>2755</v>
      </c>
      <c r="B1067" t="s">
        <v>2756</v>
      </c>
      <c r="C1067" s="1" t="s">
        <v>2757</v>
      </c>
      <c r="D1067" t="s">
        <v>2758</v>
      </c>
      <c r="E1067">
        <v>38000</v>
      </c>
      <c r="F1067" t="s">
        <v>2660</v>
      </c>
    </row>
    <row r="1068" spans="1:6" customHeight="1" ht="13.8">
      <c r="A1068" t="s">
        <v>272</v>
      </c>
      <c r="B1068" t="s">
        <v>273</v>
      </c>
      <c r="C1068" s="1" t="s">
        <v>274</v>
      </c>
      <c r="D1068" t="s">
        <v>275</v>
      </c>
      <c r="E1068">
        <v>38000</v>
      </c>
      <c r="F1068" t="s">
        <v>2660</v>
      </c>
    </row>
    <row r="1069" spans="1:6" customHeight="1" ht="13.8">
      <c r="A1069" t="s">
        <v>2759</v>
      </c>
      <c r="B1069" t="s">
        <v>2760</v>
      </c>
      <c r="C1069" s="1" t="s">
        <v>2761</v>
      </c>
      <c r="D1069" t="s">
        <v>2762</v>
      </c>
      <c r="E1069">
        <v>37000</v>
      </c>
      <c r="F1069" t="s">
        <v>2763</v>
      </c>
    </row>
    <row r="1070" spans="1:6" customHeight="1" ht="13.8">
      <c r="A1070" t="s">
        <v>2764</v>
      </c>
      <c r="B1070" t="s">
        <v>2765</v>
      </c>
      <c r="C1070" s="1" t="s">
        <v>2766</v>
      </c>
      <c r="D1070" t="s">
        <v>2767</v>
      </c>
      <c r="E1070">
        <v>39000</v>
      </c>
      <c r="F1070" t="s">
        <v>2768</v>
      </c>
    </row>
    <row r="1071" spans="1:6" customHeight="1" ht="13.8">
      <c r="A1071" t="s">
        <v>310</v>
      </c>
      <c r="B1071" t="s">
        <v>311</v>
      </c>
      <c r="C1071" s="1" t="s">
        <v>312</v>
      </c>
      <c r="D1071" t="s">
        <v>313</v>
      </c>
      <c r="E1071">
        <v>39000</v>
      </c>
      <c r="F1071" t="s">
        <v>2768</v>
      </c>
    </row>
    <row r="1072" spans="1:6" customHeight="1" ht="13.8">
      <c r="A1072" t="s">
        <v>2769</v>
      </c>
      <c r="B1072" t="s">
        <v>2770</v>
      </c>
      <c r="C1072" s="1" t="s">
        <v>2771</v>
      </c>
      <c r="D1072" t="s">
        <v>2772</v>
      </c>
      <c r="E1072">
        <v>39000</v>
      </c>
      <c r="F1072" t="s">
        <v>2773</v>
      </c>
    </row>
    <row r="1073" spans="1:6" customHeight="1" ht="13.8">
      <c r="A1073" t="s">
        <v>2774</v>
      </c>
      <c r="B1073" t="s">
        <v>2775</v>
      </c>
      <c r="C1073">
        <v>145710376</v>
      </c>
      <c r="D1073" t="s">
        <v>2776</v>
      </c>
      <c r="E1073">
        <v>39000</v>
      </c>
      <c r="F1073" t="s">
        <v>2773</v>
      </c>
    </row>
    <row r="1074" spans="1:6" customHeight="1" ht="13.8">
      <c r="A1074" t="s">
        <v>2777</v>
      </c>
      <c r="B1074" t="s">
        <v>2778</v>
      </c>
      <c r="C1074" s="1" t="s">
        <v>2779</v>
      </c>
      <c r="D1074" t="s">
        <v>2780</v>
      </c>
      <c r="E1074">
        <v>39000</v>
      </c>
      <c r="F1074" t="s">
        <v>2773</v>
      </c>
    </row>
    <row r="1075" spans="1:6" customHeight="1" ht="13.8">
      <c r="A1075" t="s">
        <v>2781</v>
      </c>
      <c r="B1075" t="s">
        <v>2782</v>
      </c>
      <c r="C1075" s="1" t="s">
        <v>2783</v>
      </c>
      <c r="D1075" t="s">
        <v>2784</v>
      </c>
      <c r="E1075">
        <v>39000</v>
      </c>
      <c r="F1075" t="s">
        <v>2773</v>
      </c>
    </row>
    <row r="1076" spans="1:6" customHeight="1" ht="13.8">
      <c r="A1076" t="s">
        <v>2785</v>
      </c>
      <c r="B1076" t="s">
        <v>2786</v>
      </c>
      <c r="C1076" s="1" t="s">
        <v>2787</v>
      </c>
      <c r="D1076" t="s">
        <v>2788</v>
      </c>
      <c r="E1076">
        <v>39000</v>
      </c>
      <c r="F1076" t="s">
        <v>2773</v>
      </c>
    </row>
    <row r="1077" spans="1:6" customHeight="1" ht="13.8">
      <c r="A1077" t="s">
        <v>2789</v>
      </c>
      <c r="B1077" t="s">
        <v>2790</v>
      </c>
      <c r="C1077" s="1" t="s">
        <v>2791</v>
      </c>
      <c r="D1077" t="s">
        <v>2792</v>
      </c>
      <c r="E1077">
        <v>46000</v>
      </c>
      <c r="F1077" t="s">
        <v>2793</v>
      </c>
    </row>
    <row r="1078" spans="1:6" customHeight="1" ht="13.8">
      <c r="A1078" t="s">
        <v>2794</v>
      </c>
      <c r="B1078" t="s">
        <v>2795</v>
      </c>
      <c r="C1078" s="1" t="s">
        <v>2796</v>
      </c>
      <c r="D1078" t="s">
        <v>2797</v>
      </c>
      <c r="E1078">
        <v>46000</v>
      </c>
      <c r="F1078" t="s">
        <v>2793</v>
      </c>
    </row>
    <row r="1079" spans="1:6" customHeight="1" ht="13.8">
      <c r="A1079" t="s">
        <v>2798</v>
      </c>
      <c r="B1079" t="s">
        <v>2799</v>
      </c>
      <c r="C1079" s="1" t="s">
        <v>2800</v>
      </c>
      <c r="D1079" t="s">
        <v>2801</v>
      </c>
      <c r="E1079">
        <v>46000</v>
      </c>
      <c r="F1079" t="s">
        <v>2793</v>
      </c>
    </row>
    <row r="1080" spans="1:6" customHeight="1" ht="13.8">
      <c r="A1080" t="s">
        <v>2802</v>
      </c>
      <c r="B1080" t="s">
        <v>2803</v>
      </c>
      <c r="C1080" s="1" t="s">
        <v>2804</v>
      </c>
      <c r="D1080" t="s">
        <v>2805</v>
      </c>
      <c r="E1080">
        <v>46000</v>
      </c>
      <c r="F1080" t="s">
        <v>2793</v>
      </c>
    </row>
    <row r="1081" spans="1:6" customHeight="1" ht="13.8">
      <c r="A1081" t="s">
        <v>2806</v>
      </c>
      <c r="B1081" t="s">
        <v>2807</v>
      </c>
      <c r="C1081">
        <v>114225643</v>
      </c>
      <c r="D1081" t="s">
        <v>2808</v>
      </c>
      <c r="E1081">
        <v>46000</v>
      </c>
      <c r="F1081" t="s">
        <v>2793</v>
      </c>
    </row>
    <row r="1082" spans="1:6" customHeight="1" ht="13.8">
      <c r="A1082" t="s">
        <v>2809</v>
      </c>
      <c r="B1082" t="s">
        <v>2810</v>
      </c>
      <c r="C1082" s="1" t="s">
        <v>2811</v>
      </c>
      <c r="D1082" t="s">
        <v>2812</v>
      </c>
      <c r="E1082">
        <v>46000</v>
      </c>
      <c r="F1082" t="s">
        <v>2793</v>
      </c>
    </row>
    <row r="1083" spans="1:6" customHeight="1" ht="13.8">
      <c r="A1083" t="s">
        <v>2813</v>
      </c>
      <c r="B1083" t="s">
        <v>2814</v>
      </c>
      <c r="C1083" s="1" t="s">
        <v>2815</v>
      </c>
      <c r="D1083" t="s">
        <v>2816</v>
      </c>
      <c r="E1083">
        <v>46000</v>
      </c>
      <c r="F1083" t="s">
        <v>2793</v>
      </c>
    </row>
    <row r="1084" spans="1:6" customHeight="1" ht="13.8">
      <c r="A1084" t="s">
        <v>2817</v>
      </c>
      <c r="B1084" t="s">
        <v>2818</v>
      </c>
      <c r="C1084" s="1" t="s">
        <v>2819</v>
      </c>
      <c r="D1084" t="s">
        <v>2820</v>
      </c>
      <c r="E1084">
        <v>46000</v>
      </c>
      <c r="F1084" t="s">
        <v>2793</v>
      </c>
    </row>
    <row r="1085" spans="1:6" customHeight="1" ht="13.8">
      <c r="A1085" t="s">
        <v>2821</v>
      </c>
      <c r="B1085" t="s">
        <v>2822</v>
      </c>
      <c r="C1085" s="1" t="s">
        <v>2823</v>
      </c>
      <c r="D1085" t="s">
        <v>2824</v>
      </c>
      <c r="E1085">
        <v>46000</v>
      </c>
      <c r="F1085" t="s">
        <v>2793</v>
      </c>
    </row>
    <row r="1086" spans="1:6" customHeight="1" ht="13.8">
      <c r="A1086" t="s">
        <v>2825</v>
      </c>
      <c r="B1086" t="s">
        <v>2826</v>
      </c>
      <c r="C1086" s="1" t="s">
        <v>2827</v>
      </c>
      <c r="D1086" t="s">
        <v>2828</v>
      </c>
      <c r="E1086">
        <v>46000</v>
      </c>
      <c r="F1086" t="s">
        <v>2793</v>
      </c>
    </row>
    <row r="1087" spans="1:6" customHeight="1" ht="13.8">
      <c r="A1087" t="s">
        <v>2829</v>
      </c>
      <c r="B1087" t="s">
        <v>1230</v>
      </c>
      <c r="C1087" s="1" t="s">
        <v>2830</v>
      </c>
      <c r="D1087" t="s">
        <v>146</v>
      </c>
      <c r="E1087">
        <v>46000</v>
      </c>
      <c r="F1087" t="s">
        <v>2793</v>
      </c>
    </row>
    <row r="1088" spans="1:6" customHeight="1" ht="13.8">
      <c r="A1088" t="s">
        <v>2831</v>
      </c>
      <c r="B1088" t="s">
        <v>2832</v>
      </c>
      <c r="C1088" s="1" t="s">
        <v>2833</v>
      </c>
      <c r="D1088" t="s">
        <v>2834</v>
      </c>
      <c r="E1088">
        <v>46000</v>
      </c>
      <c r="F1088" t="s">
        <v>2793</v>
      </c>
    </row>
    <row r="1089" spans="1:6" customHeight="1" ht="13.8">
      <c r="A1089" t="s">
        <v>2835</v>
      </c>
      <c r="B1089" t="s">
        <v>2836</v>
      </c>
      <c r="C1089">
        <v>112154989</v>
      </c>
      <c r="D1089" t="s">
        <v>2837</v>
      </c>
      <c r="E1089">
        <v>46000</v>
      </c>
      <c r="F1089" t="s">
        <v>2838</v>
      </c>
    </row>
    <row r="1090" spans="1:6" customHeight="1" ht="13.8">
      <c r="A1090" t="s">
        <v>2839</v>
      </c>
      <c r="B1090" t="s">
        <v>2840</v>
      </c>
      <c r="C1090" s="1" t="s">
        <v>2841</v>
      </c>
      <c r="D1090" t="s">
        <v>827</v>
      </c>
      <c r="E1090">
        <v>46000</v>
      </c>
      <c r="F1090" t="s">
        <v>2838</v>
      </c>
    </row>
    <row r="1091" spans="1:6" customHeight="1" ht="13.8">
      <c r="A1091" t="s">
        <v>2842</v>
      </c>
      <c r="B1091" t="s">
        <v>2843</v>
      </c>
      <c r="C1091" s="1" t="s">
        <v>2844</v>
      </c>
      <c r="D1091" t="s">
        <v>38</v>
      </c>
      <c r="E1091">
        <v>46000</v>
      </c>
      <c r="F1091" t="s">
        <v>2838</v>
      </c>
    </row>
    <row r="1092" spans="1:6" customHeight="1" ht="13.8">
      <c r="A1092" t="s">
        <v>2845</v>
      </c>
      <c r="B1092" t="s">
        <v>2846</v>
      </c>
      <c r="C1092" s="1" t="s">
        <v>2847</v>
      </c>
      <c r="D1092" t="s">
        <v>2848</v>
      </c>
      <c r="E1092">
        <v>46000</v>
      </c>
      <c r="F1092" t="s">
        <v>2838</v>
      </c>
    </row>
    <row r="1093" spans="1:6" customHeight="1" ht="13.8">
      <c r="A1093" t="s">
        <v>2293</v>
      </c>
      <c r="B1093" t="s">
        <v>2294</v>
      </c>
      <c r="C1093" s="1" t="s">
        <v>2295</v>
      </c>
      <c r="D1093" t="s">
        <v>647</v>
      </c>
      <c r="E1093">
        <v>46000</v>
      </c>
      <c r="F1093" t="s">
        <v>2838</v>
      </c>
    </row>
    <row r="1094" spans="1:6" customHeight="1" ht="13.8">
      <c r="A1094" t="s">
        <v>2849</v>
      </c>
      <c r="B1094" t="s">
        <v>2850</v>
      </c>
      <c r="C1094" s="1" t="s">
        <v>2851</v>
      </c>
      <c r="D1094" t="s">
        <v>2852</v>
      </c>
      <c r="E1094">
        <v>46000</v>
      </c>
      <c r="F1094" t="s">
        <v>2838</v>
      </c>
    </row>
    <row r="1095" spans="1:6" customHeight="1" ht="13.8">
      <c r="A1095" t="s">
        <v>2853</v>
      </c>
      <c r="B1095" t="s">
        <v>2854</v>
      </c>
      <c r="C1095">
        <v>113101254</v>
      </c>
      <c r="D1095" t="s">
        <v>2855</v>
      </c>
      <c r="E1095">
        <v>46000</v>
      </c>
      <c r="F1095" t="s">
        <v>2838</v>
      </c>
    </row>
    <row r="1096" spans="1:6" customHeight="1" ht="13.8">
      <c r="A1096" t="s">
        <v>2856</v>
      </c>
      <c r="B1096" t="s">
        <v>2857</v>
      </c>
      <c r="C1096">
        <v>121911474</v>
      </c>
      <c r="D1096" t="s">
        <v>2858</v>
      </c>
      <c r="E1096">
        <v>46000</v>
      </c>
      <c r="F1096" t="s">
        <v>2838</v>
      </c>
    </row>
    <row r="1097" spans="1:6" customHeight="1" ht="13.8">
      <c r="A1097" t="s">
        <v>2859</v>
      </c>
      <c r="B1097" t="s">
        <v>2860</v>
      </c>
      <c r="C1097" s="1" t="s">
        <v>2861</v>
      </c>
      <c r="D1097" t="s">
        <v>2862</v>
      </c>
      <c r="E1097">
        <v>46000</v>
      </c>
      <c r="F1097" t="s">
        <v>2838</v>
      </c>
    </row>
    <row r="1098" spans="1:6" customHeight="1" ht="13.8">
      <c r="A1098" t="s">
        <v>2863</v>
      </c>
      <c r="B1098" t="s">
        <v>2864</v>
      </c>
      <c r="C1098">
        <v>110952363</v>
      </c>
      <c r="D1098" t="s">
        <v>2865</v>
      </c>
      <c r="E1098">
        <v>46000</v>
      </c>
      <c r="F1098" t="s">
        <v>2838</v>
      </c>
    </row>
    <row r="1099" spans="1:6" customHeight="1" ht="13.8">
      <c r="A1099" t="s">
        <v>2866</v>
      </c>
      <c r="B1099" t="s">
        <v>2867</v>
      </c>
      <c r="C1099" s="1" t="s">
        <v>2868</v>
      </c>
      <c r="D1099" t="s">
        <v>2869</v>
      </c>
      <c r="E1099">
        <v>46000</v>
      </c>
      <c r="F1099" t="s">
        <v>2838</v>
      </c>
    </row>
    <row r="1100" spans="1:6" customHeight="1" ht="13.8">
      <c r="A1100" t="s">
        <v>2870</v>
      </c>
      <c r="B1100" t="s">
        <v>2871</v>
      </c>
      <c r="C1100" s="1" t="s">
        <v>2872</v>
      </c>
      <c r="D1100" t="s">
        <v>2873</v>
      </c>
      <c r="E1100">
        <v>46000</v>
      </c>
      <c r="F1100" t="s">
        <v>2838</v>
      </c>
    </row>
    <row r="1101" spans="1:6" customHeight="1" ht="13.8">
      <c r="A1101" t="s">
        <v>2874</v>
      </c>
      <c r="B1101" t="s">
        <v>2875</v>
      </c>
      <c r="C1101" s="1" t="s">
        <v>2876</v>
      </c>
      <c r="D1101" t="s">
        <v>2877</v>
      </c>
      <c r="E1101">
        <v>46000</v>
      </c>
      <c r="F1101" t="s">
        <v>2838</v>
      </c>
    </row>
    <row r="1102" spans="1:6" customHeight="1" ht="13.8">
      <c r="A1102" t="s">
        <v>2878</v>
      </c>
      <c r="B1102" t="s">
        <v>2879</v>
      </c>
      <c r="C1102" s="1" t="s">
        <v>2880</v>
      </c>
      <c r="D1102" t="s">
        <v>2881</v>
      </c>
      <c r="E1102">
        <v>46000</v>
      </c>
      <c r="F1102" t="s">
        <v>2838</v>
      </c>
    </row>
    <row r="1103" spans="1:6" customHeight="1" ht="13.8">
      <c r="A1103" t="s">
        <v>2882</v>
      </c>
      <c r="B1103" t="s">
        <v>2883</v>
      </c>
      <c r="C1103" s="1" t="s">
        <v>2884</v>
      </c>
      <c r="D1103" t="s">
        <v>2885</v>
      </c>
      <c r="E1103">
        <v>46000</v>
      </c>
      <c r="F1103" t="s">
        <v>2838</v>
      </c>
    </row>
    <row r="1104" spans="1:6" customHeight="1" ht="13.8">
      <c r="A1104" t="s">
        <v>2886</v>
      </c>
      <c r="B1104" t="s">
        <v>2887</v>
      </c>
      <c r="C1104" s="1" t="s">
        <v>2888</v>
      </c>
      <c r="D1104" t="s">
        <v>2889</v>
      </c>
      <c r="E1104">
        <v>46000</v>
      </c>
      <c r="F1104" t="s">
        <v>2838</v>
      </c>
    </row>
    <row r="1105" spans="1:6" customHeight="1" ht="13.8">
      <c r="A1105" t="s">
        <v>2890</v>
      </c>
      <c r="B1105" t="s">
        <v>2891</v>
      </c>
      <c r="C1105" s="1" t="s">
        <v>2892</v>
      </c>
      <c r="D1105" t="s">
        <v>2893</v>
      </c>
      <c r="E1105">
        <v>46000</v>
      </c>
      <c r="F1105" t="s">
        <v>2838</v>
      </c>
    </row>
    <row r="1106" spans="1:6" customHeight="1" ht="13.8">
      <c r="A1106" t="s">
        <v>2894</v>
      </c>
      <c r="B1106" t="s">
        <v>2895</v>
      </c>
      <c r="C1106" s="1" t="s">
        <v>2896</v>
      </c>
      <c r="D1106" t="s">
        <v>2897</v>
      </c>
      <c r="E1106">
        <v>46000</v>
      </c>
      <c r="F1106" t="s">
        <v>2838</v>
      </c>
    </row>
    <row r="1107" spans="1:6" customHeight="1" ht="13.8">
      <c r="A1107" t="s">
        <v>2898</v>
      </c>
      <c r="B1107" t="s">
        <v>2899</v>
      </c>
      <c r="C1107" s="1" t="s">
        <v>2900</v>
      </c>
      <c r="D1107" t="s">
        <v>1221</v>
      </c>
      <c r="E1107">
        <v>46000</v>
      </c>
      <c r="F1107" t="s">
        <v>2838</v>
      </c>
    </row>
    <row r="1108" spans="1:6" customHeight="1" ht="13.8">
      <c r="A1108" t="s">
        <v>2901</v>
      </c>
      <c r="B1108" t="s">
        <v>2902</v>
      </c>
      <c r="C1108" s="1" t="s">
        <v>2903</v>
      </c>
      <c r="D1108" t="s">
        <v>2904</v>
      </c>
      <c r="E1108">
        <v>46000</v>
      </c>
      <c r="F1108" t="s">
        <v>2838</v>
      </c>
    </row>
    <row r="1109" spans="1:6" customHeight="1" ht="13.8">
      <c r="A1109" t="s">
        <v>2905</v>
      </c>
      <c r="B1109" t="s">
        <v>2906</v>
      </c>
      <c r="C1109" s="1" t="s">
        <v>2907</v>
      </c>
      <c r="D1109" t="s">
        <v>2908</v>
      </c>
      <c r="E1109">
        <v>58000</v>
      </c>
      <c r="F1109" t="s">
        <v>2909</v>
      </c>
    </row>
    <row r="1110" spans="1:6" customHeight="1" ht="13.8">
      <c r="A1110" t="s">
        <v>2910</v>
      </c>
      <c r="B1110" t="s">
        <v>2911</v>
      </c>
      <c r="C1110" s="1" t="s">
        <v>2912</v>
      </c>
      <c r="D1110" t="s">
        <v>2913</v>
      </c>
      <c r="E1110">
        <v>58000</v>
      </c>
      <c r="F1110" t="s">
        <v>2909</v>
      </c>
    </row>
    <row r="1111" spans="1:6" customHeight="1" ht="13.8">
      <c r="A1111" t="s">
        <v>2914</v>
      </c>
      <c r="B1111" t="s">
        <v>2915</v>
      </c>
      <c r="C1111" s="1" t="s">
        <v>2916</v>
      </c>
      <c r="D1111" t="s">
        <v>2917</v>
      </c>
      <c r="E1111">
        <v>58000</v>
      </c>
      <c r="F1111" t="s">
        <v>2909</v>
      </c>
    </row>
    <row r="1112" spans="1:6" customHeight="1" ht="13.8">
      <c r="A1112" t="s">
        <v>2918</v>
      </c>
      <c r="B1112" t="s">
        <v>2919</v>
      </c>
      <c r="C1112" s="1" t="s">
        <v>2920</v>
      </c>
      <c r="D1112" t="s">
        <v>2921</v>
      </c>
      <c r="E1112">
        <v>58000</v>
      </c>
      <c r="F1112" t="s">
        <v>2909</v>
      </c>
    </row>
    <row r="1113" spans="1:6" customHeight="1" ht="13.8">
      <c r="A1113" t="s">
        <v>2922</v>
      </c>
      <c r="B1113" t="s">
        <v>2923</v>
      </c>
      <c r="C1113" s="1" t="s">
        <v>2924</v>
      </c>
      <c r="D1113" t="s">
        <v>2925</v>
      </c>
      <c r="E1113">
        <v>58000</v>
      </c>
      <c r="F1113" t="s">
        <v>2909</v>
      </c>
    </row>
    <row r="1114" spans="1:6" customHeight="1" ht="13.8">
      <c r="A1114" t="s">
        <v>2926</v>
      </c>
      <c r="B1114" t="s">
        <v>2927</v>
      </c>
      <c r="C1114" s="1" t="s">
        <v>2928</v>
      </c>
      <c r="D1114" t="s">
        <v>2929</v>
      </c>
      <c r="E1114">
        <v>58000</v>
      </c>
      <c r="F1114" t="s">
        <v>2909</v>
      </c>
    </row>
    <row r="1115" spans="1:6" customHeight="1" ht="13.8">
      <c r="A1115" t="s">
        <v>2930</v>
      </c>
      <c r="B1115" t="s">
        <v>2931</v>
      </c>
      <c r="C1115" s="1" t="s">
        <v>2932</v>
      </c>
      <c r="D1115" t="s">
        <v>2933</v>
      </c>
      <c r="E1115">
        <v>58000</v>
      </c>
      <c r="F1115" t="s">
        <v>2909</v>
      </c>
    </row>
    <row r="1116" spans="1:6" customHeight="1" ht="13.8">
      <c r="A1116" t="s">
        <v>2934</v>
      </c>
      <c r="B1116" t="s">
        <v>2935</v>
      </c>
      <c r="C1116" s="1" t="s">
        <v>2936</v>
      </c>
      <c r="D1116" t="s">
        <v>2414</v>
      </c>
      <c r="E1116">
        <v>58000</v>
      </c>
      <c r="F1116" t="s">
        <v>2909</v>
      </c>
    </row>
    <row r="1117" spans="1:6" customHeight="1" ht="13.8">
      <c r="A1117" t="s">
        <v>2937</v>
      </c>
      <c r="B1117" t="s">
        <v>2938</v>
      </c>
      <c r="C1117" s="1" t="s">
        <v>2939</v>
      </c>
      <c r="D1117" t="s">
        <v>2940</v>
      </c>
      <c r="E1117">
        <v>58000</v>
      </c>
      <c r="F1117" t="s">
        <v>2941</v>
      </c>
    </row>
    <row r="1118" spans="1:6" customHeight="1" ht="13.8">
      <c r="A1118" t="s">
        <v>2942</v>
      </c>
      <c r="B1118" t="s">
        <v>2943</v>
      </c>
      <c r="C1118" s="1" t="s">
        <v>2944</v>
      </c>
      <c r="D1118" t="s">
        <v>2945</v>
      </c>
      <c r="E1118">
        <v>58000</v>
      </c>
      <c r="F1118" t="s">
        <v>2941</v>
      </c>
    </row>
    <row r="1119" spans="1:6" customHeight="1" ht="13.8">
      <c r="A1119" t="s">
        <v>2946</v>
      </c>
      <c r="B1119" t="s">
        <v>2947</v>
      </c>
      <c r="C1119" s="1" t="s">
        <v>2948</v>
      </c>
      <c r="D1119" t="s">
        <v>2949</v>
      </c>
      <c r="E1119">
        <v>58000</v>
      </c>
      <c r="F1119" t="s">
        <v>2941</v>
      </c>
    </row>
    <row r="1120" spans="1:6" customHeight="1" ht="13.8">
      <c r="A1120" t="s">
        <v>2950</v>
      </c>
      <c r="B1120" t="s">
        <v>2951</v>
      </c>
      <c r="C1120" s="1" t="s">
        <v>2952</v>
      </c>
      <c r="D1120" t="s">
        <v>2953</v>
      </c>
      <c r="E1120">
        <v>58000</v>
      </c>
      <c r="F1120" t="s">
        <v>2941</v>
      </c>
    </row>
    <row r="1121" spans="1:6" customHeight="1" ht="13.8">
      <c r="A1121" t="s">
        <v>2954</v>
      </c>
      <c r="B1121" t="s">
        <v>2955</v>
      </c>
      <c r="C1121">
        <v>116208125</v>
      </c>
      <c r="D1121" t="s">
        <v>2956</v>
      </c>
      <c r="E1121">
        <v>58000</v>
      </c>
      <c r="F1121" t="s">
        <v>2941</v>
      </c>
    </row>
    <row r="1122" spans="1:6" customHeight="1" ht="13.8">
      <c r="A1122" t="s">
        <v>2957</v>
      </c>
      <c r="B1122" t="s">
        <v>2958</v>
      </c>
      <c r="C1122" s="1" t="s">
        <v>2959</v>
      </c>
      <c r="D1122" t="s">
        <v>2960</v>
      </c>
      <c r="E1122">
        <v>67000</v>
      </c>
      <c r="F1122" t="s">
        <v>2961</v>
      </c>
    </row>
    <row r="1123" spans="1:6" customHeight="1" ht="13.8">
      <c r="A1123" t="s">
        <v>2962</v>
      </c>
      <c r="B1123" t="s">
        <v>2963</v>
      </c>
      <c r="C1123" s="1" t="s">
        <v>2964</v>
      </c>
      <c r="D1123" t="s">
        <v>2965</v>
      </c>
      <c r="E1123">
        <v>67000</v>
      </c>
      <c r="F1123" t="s">
        <v>2961</v>
      </c>
    </row>
    <row r="1124" spans="1:6" customHeight="1" ht="13.8">
      <c r="A1124" t="s">
        <v>2966</v>
      </c>
      <c r="B1124" t="s">
        <v>2967</v>
      </c>
      <c r="C1124" s="1" t="s">
        <v>2968</v>
      </c>
      <c r="D1124" t="s">
        <v>2969</v>
      </c>
      <c r="E1124">
        <v>67000</v>
      </c>
      <c r="F1124" t="s">
        <v>2961</v>
      </c>
    </row>
    <row r="1125" spans="1:6" customHeight="1" ht="13.8">
      <c r="A1125" t="s">
        <v>2970</v>
      </c>
      <c r="B1125" t="s">
        <v>2971</v>
      </c>
      <c r="C1125" s="1" t="s">
        <v>2972</v>
      </c>
      <c r="D1125" t="s">
        <v>2973</v>
      </c>
      <c r="E1125">
        <v>67000</v>
      </c>
      <c r="F1125" t="s">
        <v>2961</v>
      </c>
    </row>
    <row r="1126" spans="1:6" customHeight="1" ht="13.8">
      <c r="A1126" t="s">
        <v>2974</v>
      </c>
      <c r="B1126" t="s">
        <v>2975</v>
      </c>
      <c r="C1126" s="1" t="s">
        <v>2976</v>
      </c>
      <c r="D1126" t="s">
        <v>2977</v>
      </c>
      <c r="E1126">
        <v>67000</v>
      </c>
      <c r="F1126" t="s">
        <v>2961</v>
      </c>
    </row>
    <row r="1127" spans="1:6" customHeight="1" ht="13.8">
      <c r="A1127" t="s">
        <v>2978</v>
      </c>
      <c r="B1127" t="s">
        <v>2979</v>
      </c>
      <c r="C1127">
        <v>118696964</v>
      </c>
      <c r="D1127" t="s">
        <v>2980</v>
      </c>
      <c r="E1127">
        <v>67000</v>
      </c>
      <c r="F1127" t="s">
        <v>2961</v>
      </c>
    </row>
    <row r="1128" spans="1:6" customHeight="1" ht="13.8">
      <c r="A1128" t="s">
        <v>2981</v>
      </c>
      <c r="B1128" t="s">
        <v>2982</v>
      </c>
      <c r="C1128" s="1" t="s">
        <v>2983</v>
      </c>
      <c r="D1128" t="s">
        <v>2984</v>
      </c>
      <c r="E1128">
        <v>67000</v>
      </c>
      <c r="F1128" t="s">
        <v>2961</v>
      </c>
    </row>
    <row r="1129" spans="1:6" customHeight="1" ht="13.8">
      <c r="A1129" t="s">
        <v>2985</v>
      </c>
      <c r="B1129" t="s">
        <v>2986</v>
      </c>
      <c r="C1129" s="1" t="s">
        <v>2987</v>
      </c>
      <c r="D1129" t="s">
        <v>2988</v>
      </c>
      <c r="E1129">
        <v>67000</v>
      </c>
      <c r="F1129" t="s">
        <v>2961</v>
      </c>
    </row>
    <row r="1130" spans="1:6" customHeight="1" ht="13.8">
      <c r="A1130" t="s">
        <v>2989</v>
      </c>
      <c r="B1130" t="s">
        <v>2990</v>
      </c>
      <c r="C1130" s="1" t="s">
        <v>2991</v>
      </c>
      <c r="D1130" t="s">
        <v>2992</v>
      </c>
      <c r="E1130">
        <v>67000</v>
      </c>
      <c r="F1130" t="s">
        <v>2961</v>
      </c>
    </row>
    <row r="1131" spans="1:6" customHeight="1" ht="13.8">
      <c r="A1131" t="s">
        <v>2993</v>
      </c>
      <c r="B1131" t="s">
        <v>2994</v>
      </c>
      <c r="C1131" s="1" t="s">
        <v>2995</v>
      </c>
      <c r="D1131" t="s">
        <v>1804</v>
      </c>
      <c r="E1131">
        <v>67000</v>
      </c>
      <c r="F1131" t="s">
        <v>2996</v>
      </c>
    </row>
    <row r="1132" spans="1:6" customHeight="1" ht="13.8">
      <c r="A1132" t="s">
        <v>2997</v>
      </c>
      <c r="B1132" t="s">
        <v>2998</v>
      </c>
      <c r="C1132" s="1" t="s">
        <v>2999</v>
      </c>
      <c r="D1132" t="s">
        <v>3000</v>
      </c>
      <c r="E1132">
        <v>67000</v>
      </c>
      <c r="F1132" t="s">
        <v>2996</v>
      </c>
    </row>
    <row r="1133" spans="1:6" customHeight="1" ht="13.8">
      <c r="A1133" t="s">
        <v>3001</v>
      </c>
      <c r="B1133" t="s">
        <v>3002</v>
      </c>
      <c r="C1133" s="1" t="s">
        <v>3003</v>
      </c>
      <c r="D1133" t="s">
        <v>3004</v>
      </c>
      <c r="E1133">
        <v>67000</v>
      </c>
      <c r="F1133" t="s">
        <v>2996</v>
      </c>
    </row>
    <row r="1134" spans="1:6" customHeight="1" ht="13.8">
      <c r="A1134" t="s">
        <v>3005</v>
      </c>
      <c r="B1134" t="s">
        <v>3006</v>
      </c>
      <c r="C1134" s="1" t="s">
        <v>3007</v>
      </c>
      <c r="D1134" t="s">
        <v>3008</v>
      </c>
      <c r="E1134">
        <v>67000</v>
      </c>
      <c r="F1134" t="s">
        <v>2996</v>
      </c>
    </row>
    <row r="1135" spans="1:6" customHeight="1" ht="13.8">
      <c r="A1135" t="s">
        <v>3009</v>
      </c>
      <c r="B1135" t="s">
        <v>3010</v>
      </c>
      <c r="C1135">
        <v>112160874</v>
      </c>
      <c r="D1135" t="s">
        <v>3011</v>
      </c>
      <c r="E1135">
        <v>67000</v>
      </c>
      <c r="F1135" t="s">
        <v>2996</v>
      </c>
    </row>
    <row r="1136" spans="1:6" customHeight="1" ht="13.8">
      <c r="A1136" t="s">
        <v>3012</v>
      </c>
      <c r="B1136" t="s">
        <v>3013</v>
      </c>
      <c r="C1136" s="1" t="s">
        <v>3014</v>
      </c>
      <c r="D1136" t="s">
        <v>3015</v>
      </c>
      <c r="E1136">
        <v>67000</v>
      </c>
      <c r="F1136" t="s">
        <v>2996</v>
      </c>
    </row>
    <row r="1137" spans="1:6" customHeight="1" ht="13.8">
      <c r="A1137" t="s">
        <v>3016</v>
      </c>
      <c r="B1137" t="s">
        <v>3017</v>
      </c>
      <c r="C1137" s="1" t="s">
        <v>3018</v>
      </c>
      <c r="D1137" t="s">
        <v>3019</v>
      </c>
      <c r="E1137">
        <v>67000</v>
      </c>
      <c r="F1137" t="s">
        <v>2996</v>
      </c>
    </row>
    <row r="1138" spans="1:6" customHeight="1" ht="13.8">
      <c r="A1138" t="s">
        <v>3020</v>
      </c>
      <c r="B1138" t="s">
        <v>3021</v>
      </c>
      <c r="C1138">
        <v>117673256</v>
      </c>
      <c r="D1138" t="s">
        <v>3022</v>
      </c>
      <c r="E1138">
        <v>9000</v>
      </c>
      <c r="F1138" t="s">
        <v>3023</v>
      </c>
    </row>
    <row r="1139" spans="1:6" customHeight="1" ht="13.8">
      <c r="A1139" t="s">
        <v>3024</v>
      </c>
      <c r="B1139" t="s">
        <v>3025</v>
      </c>
      <c r="C1139" s="1" t="s">
        <v>3026</v>
      </c>
      <c r="D1139" t="s">
        <v>3027</v>
      </c>
      <c r="E1139">
        <v>9000</v>
      </c>
      <c r="F1139" t="s">
        <v>3023</v>
      </c>
    </row>
    <row r="1140" spans="1:6" customHeight="1" ht="13.8">
      <c r="A1140" t="s">
        <v>3028</v>
      </c>
      <c r="B1140" t="s">
        <v>3029</v>
      </c>
      <c r="C1140">
        <v>115095605</v>
      </c>
      <c r="D1140" t="s">
        <v>2093</v>
      </c>
      <c r="E1140">
        <v>9000</v>
      </c>
      <c r="F1140" t="s">
        <v>3023</v>
      </c>
    </row>
    <row r="1141" spans="1:6" customHeight="1" ht="13.8">
      <c r="A1141" t="s">
        <v>3030</v>
      </c>
      <c r="B1141" t="s">
        <v>3031</v>
      </c>
      <c r="C1141" s="1" t="s">
        <v>3032</v>
      </c>
      <c r="D1141" t="s">
        <v>3033</v>
      </c>
      <c r="E1141">
        <v>9000</v>
      </c>
      <c r="F1141" t="s">
        <v>3023</v>
      </c>
    </row>
    <row r="1142" spans="1:6" customHeight="1" ht="13.8">
      <c r="A1142" t="s">
        <v>3034</v>
      </c>
      <c r="B1142" t="s">
        <v>3035</v>
      </c>
      <c r="C1142">
        <v>109113087</v>
      </c>
      <c r="D1142" t="s">
        <v>2784</v>
      </c>
      <c r="E1142">
        <v>9000</v>
      </c>
      <c r="F1142" t="s">
        <v>3023</v>
      </c>
    </row>
    <row r="1143" spans="1:6" customHeight="1" ht="13.8">
      <c r="A1143" t="s">
        <v>2520</v>
      </c>
      <c r="B1143" t="s">
        <v>2521</v>
      </c>
      <c r="C1143" s="1" t="s">
        <v>2522</v>
      </c>
      <c r="D1143" t="s">
        <v>2523</v>
      </c>
      <c r="E1143">
        <v>9000</v>
      </c>
      <c r="F1143" t="s">
        <v>3023</v>
      </c>
    </row>
    <row r="1144" spans="1:6" customHeight="1" ht="13.8">
      <c r="A1144" t="s">
        <v>3036</v>
      </c>
      <c r="B1144" t="s">
        <v>3037</v>
      </c>
      <c r="C1144" s="1" t="s">
        <v>3038</v>
      </c>
      <c r="D1144" t="s">
        <v>3039</v>
      </c>
      <c r="E1144">
        <v>9000</v>
      </c>
      <c r="F1144" t="s">
        <v>3023</v>
      </c>
    </row>
    <row r="1145" spans="1:6" customHeight="1" ht="13.8">
      <c r="A1145" t="s">
        <v>3040</v>
      </c>
      <c r="B1145" t="s">
        <v>3041</v>
      </c>
      <c r="C1145">
        <v>107800024</v>
      </c>
      <c r="D1145" t="s">
        <v>3042</v>
      </c>
      <c r="E1145">
        <v>9000</v>
      </c>
      <c r="F1145" t="s">
        <v>3023</v>
      </c>
    </row>
    <row r="1146" spans="1:6" customHeight="1" ht="13.8">
      <c r="A1146" t="s">
        <v>3043</v>
      </c>
      <c r="B1146" t="s">
        <v>3044</v>
      </c>
      <c r="C1146" s="1" t="s">
        <v>3045</v>
      </c>
      <c r="D1146" t="s">
        <v>3046</v>
      </c>
      <c r="E1146">
        <v>9000</v>
      </c>
      <c r="F1146" t="s">
        <v>3023</v>
      </c>
    </row>
    <row r="1147" spans="1:6" customHeight="1" ht="13.8">
      <c r="A1147" t="s">
        <v>2463</v>
      </c>
      <c r="B1147" t="s">
        <v>2464</v>
      </c>
      <c r="C1147" s="1" t="s">
        <v>2465</v>
      </c>
      <c r="D1147" t="s">
        <v>2466</v>
      </c>
      <c r="E1147">
        <v>9000</v>
      </c>
      <c r="F1147" t="s">
        <v>3023</v>
      </c>
    </row>
    <row r="1148" spans="1:6" customHeight="1" ht="13.8">
      <c r="A1148" t="s">
        <v>3047</v>
      </c>
      <c r="B1148" t="s">
        <v>3048</v>
      </c>
      <c r="C1148" s="1" t="s">
        <v>3049</v>
      </c>
      <c r="D1148" t="s">
        <v>3050</v>
      </c>
      <c r="E1148">
        <v>9000</v>
      </c>
      <c r="F1148" t="s">
        <v>3023</v>
      </c>
    </row>
    <row r="1149" spans="1:6" customHeight="1" ht="13.8">
      <c r="A1149" t="s">
        <v>3051</v>
      </c>
      <c r="B1149" t="s">
        <v>3052</v>
      </c>
      <c r="C1149" s="1" t="s">
        <v>3053</v>
      </c>
      <c r="D1149" t="s">
        <v>3054</v>
      </c>
      <c r="E1149">
        <v>9000</v>
      </c>
      <c r="F1149" t="s">
        <v>3023</v>
      </c>
    </row>
    <row r="1150" spans="1:6" customHeight="1" ht="13.8">
      <c r="A1150" t="s">
        <v>3055</v>
      </c>
      <c r="B1150" t="s">
        <v>3056</v>
      </c>
      <c r="C1150" s="1" t="s">
        <v>3057</v>
      </c>
      <c r="D1150" t="s">
        <v>3058</v>
      </c>
      <c r="E1150">
        <v>9000</v>
      </c>
      <c r="F1150" t="s">
        <v>3023</v>
      </c>
    </row>
    <row r="1151" spans="1:6" customHeight="1" ht="13.8">
      <c r="A1151" t="s">
        <v>3059</v>
      </c>
      <c r="B1151" t="s">
        <v>3060</v>
      </c>
      <c r="C1151">
        <v>119113572</v>
      </c>
      <c r="D1151" t="s">
        <v>3061</v>
      </c>
      <c r="E1151">
        <v>9000</v>
      </c>
      <c r="F1151" t="s">
        <v>3023</v>
      </c>
    </row>
    <row r="1152" spans="1:6" customHeight="1" ht="13.8">
      <c r="A1152" t="s">
        <v>3062</v>
      </c>
      <c r="B1152" t="s">
        <v>3063</v>
      </c>
      <c r="C1152" s="1" t="s">
        <v>3064</v>
      </c>
      <c r="D1152" t="s">
        <v>3065</v>
      </c>
      <c r="E1152">
        <v>9000</v>
      </c>
      <c r="F1152" t="s">
        <v>3023</v>
      </c>
    </row>
    <row r="1153" spans="1:6" customHeight="1" ht="13.8">
      <c r="A1153" t="s">
        <v>3066</v>
      </c>
      <c r="B1153" t="s">
        <v>3067</v>
      </c>
      <c r="C1153">
        <v>118325381</v>
      </c>
      <c r="D1153" t="s">
        <v>2607</v>
      </c>
      <c r="E1153">
        <v>9000</v>
      </c>
      <c r="F1153" t="s">
        <v>3023</v>
      </c>
    </row>
    <row r="1154" spans="1:6" customHeight="1" ht="13.8">
      <c r="A1154" t="s">
        <v>3068</v>
      </c>
      <c r="B1154" t="s">
        <v>3069</v>
      </c>
      <c r="C1154" s="1" t="s">
        <v>3070</v>
      </c>
      <c r="D1154" t="s">
        <v>3071</v>
      </c>
      <c r="E1154">
        <v>9000</v>
      </c>
      <c r="F1154" t="s">
        <v>3023</v>
      </c>
    </row>
    <row r="1155" spans="1:6" customHeight="1" ht="13.8">
      <c r="A1155" t="s">
        <v>3072</v>
      </c>
      <c r="B1155" t="s">
        <v>3073</v>
      </c>
      <c r="C1155" s="1" t="s">
        <v>3074</v>
      </c>
      <c r="D1155" t="s">
        <v>3075</v>
      </c>
      <c r="E1155">
        <v>9000</v>
      </c>
      <c r="F1155" t="s">
        <v>3023</v>
      </c>
    </row>
    <row r="1156" spans="1:6" customHeight="1" ht="13.8">
      <c r="A1156" t="s">
        <v>3076</v>
      </c>
      <c r="B1156" t="s">
        <v>3077</v>
      </c>
      <c r="C1156" s="1" t="s">
        <v>3078</v>
      </c>
      <c r="D1156" t="s">
        <v>2676</v>
      </c>
      <c r="E1156">
        <v>9000</v>
      </c>
      <c r="F1156" t="s">
        <v>3023</v>
      </c>
    </row>
    <row r="1157" spans="1:6" customHeight="1" ht="13.8">
      <c r="A1157" t="s">
        <v>3079</v>
      </c>
      <c r="B1157" t="s">
        <v>3080</v>
      </c>
      <c r="C1157" s="1" t="s">
        <v>3081</v>
      </c>
      <c r="D1157" t="s">
        <v>3082</v>
      </c>
      <c r="E1157">
        <v>9000</v>
      </c>
      <c r="F1157" t="s">
        <v>3023</v>
      </c>
    </row>
    <row r="1158" spans="1:6" customHeight="1" ht="13.8">
      <c r="A1158" t="s">
        <v>3083</v>
      </c>
      <c r="B1158" t="s">
        <v>3084</v>
      </c>
      <c r="C1158" s="1" t="s">
        <v>3085</v>
      </c>
      <c r="D1158" t="s">
        <v>3086</v>
      </c>
      <c r="E1158">
        <v>9000</v>
      </c>
      <c r="F1158" t="s">
        <v>3023</v>
      </c>
    </row>
    <row r="1159" spans="1:6" customHeight="1" ht="13.8">
      <c r="A1159" t="s">
        <v>3087</v>
      </c>
      <c r="B1159" t="s">
        <v>3088</v>
      </c>
      <c r="C1159" s="1" t="s">
        <v>3089</v>
      </c>
      <c r="D1159" t="s">
        <v>3090</v>
      </c>
      <c r="E1159">
        <v>9000</v>
      </c>
      <c r="F1159" t="s">
        <v>3023</v>
      </c>
    </row>
    <row r="1160" spans="1:6" customHeight="1" ht="13.8">
      <c r="A1160" t="s">
        <v>3091</v>
      </c>
      <c r="B1160" t="s">
        <v>3092</v>
      </c>
      <c r="C1160">
        <v>113952771</v>
      </c>
      <c r="D1160" t="s">
        <v>3093</v>
      </c>
      <c r="E1160">
        <v>9000</v>
      </c>
      <c r="F1160" t="s">
        <v>3023</v>
      </c>
    </row>
    <row r="1161" spans="1:6" customHeight="1" ht="13.8">
      <c r="A1161" t="s">
        <v>3094</v>
      </c>
      <c r="B1161" t="s">
        <v>3095</v>
      </c>
      <c r="C1161" s="1" t="s">
        <v>3096</v>
      </c>
      <c r="D1161" t="s">
        <v>3097</v>
      </c>
      <c r="E1161">
        <v>9000</v>
      </c>
      <c r="F1161" t="s">
        <v>3023</v>
      </c>
    </row>
    <row r="1162" spans="1:6" customHeight="1" ht="13.8">
      <c r="A1162" t="s">
        <v>3098</v>
      </c>
      <c r="B1162" t="s">
        <v>3099</v>
      </c>
      <c r="C1162" t="s">
        <v>3100</v>
      </c>
      <c r="D1162" t="s">
        <v>3101</v>
      </c>
      <c r="E1162">
        <v>13000</v>
      </c>
      <c r="F1162" t="s">
        <v>3102</v>
      </c>
    </row>
    <row r="1163" spans="1:6" customHeight="1" ht="13.8">
      <c r="A1163" t="s">
        <v>3103</v>
      </c>
      <c r="B1163" t="s">
        <v>3104</v>
      </c>
      <c r="C1163">
        <v>116590086</v>
      </c>
      <c r="D1163" t="s">
        <v>3105</v>
      </c>
      <c r="E1163">
        <v>13000</v>
      </c>
      <c r="F1163" t="s">
        <v>3102</v>
      </c>
    </row>
    <row r="1164" spans="1:6" customHeight="1" ht="13.8">
      <c r="A1164" t="s">
        <v>3106</v>
      </c>
      <c r="B1164" t="s">
        <v>3107</v>
      </c>
      <c r="C1164" s="1" t="s">
        <v>3108</v>
      </c>
      <c r="D1164" t="s">
        <v>3109</v>
      </c>
      <c r="E1164">
        <v>13000</v>
      </c>
      <c r="F1164" t="s">
        <v>3102</v>
      </c>
    </row>
    <row r="1165" spans="1:6" customHeight="1" ht="13.8">
      <c r="A1165" t="s">
        <v>3110</v>
      </c>
      <c r="B1165" t="s">
        <v>3111</v>
      </c>
      <c r="C1165" s="1" t="s">
        <v>3112</v>
      </c>
      <c r="D1165" t="s">
        <v>3113</v>
      </c>
      <c r="E1165">
        <v>13000</v>
      </c>
      <c r="F1165" t="s">
        <v>3102</v>
      </c>
    </row>
    <row r="1166" spans="1:6" customHeight="1" ht="13.8">
      <c r="A1166" t="s">
        <v>3114</v>
      </c>
      <c r="B1166" t="s">
        <v>3115</v>
      </c>
      <c r="C1166" s="1" t="s">
        <v>3116</v>
      </c>
      <c r="D1166" t="s">
        <v>3117</v>
      </c>
      <c r="E1166">
        <v>13000</v>
      </c>
      <c r="F1166" t="s">
        <v>3102</v>
      </c>
    </row>
    <row r="1167" spans="1:6" customHeight="1" ht="13.8">
      <c r="A1167" t="s">
        <v>2677</v>
      </c>
      <c r="B1167" t="s">
        <v>2678</v>
      </c>
      <c r="C1167" s="1" t="s">
        <v>2679</v>
      </c>
      <c r="D1167" t="s">
        <v>2680</v>
      </c>
      <c r="E1167">
        <v>13000</v>
      </c>
      <c r="F1167" t="s">
        <v>3102</v>
      </c>
    </row>
    <row r="1168" spans="1:6" customHeight="1" ht="13.8">
      <c r="A1168" t="s">
        <v>2689</v>
      </c>
      <c r="B1168" t="s">
        <v>2690</v>
      </c>
      <c r="C1168">
        <v>111225132</v>
      </c>
      <c r="D1168" t="s">
        <v>2691</v>
      </c>
      <c r="E1168">
        <v>13000</v>
      </c>
      <c r="F1168" t="s">
        <v>3102</v>
      </c>
    </row>
    <row r="1169" spans="1:6" customHeight="1" ht="13.8">
      <c r="A1169" t="s">
        <v>3118</v>
      </c>
      <c r="B1169" t="s">
        <v>3119</v>
      </c>
      <c r="C1169" s="1" t="s">
        <v>3120</v>
      </c>
      <c r="D1169" t="s">
        <v>3121</v>
      </c>
      <c r="E1169">
        <v>13000</v>
      </c>
      <c r="F1169" t="s">
        <v>3102</v>
      </c>
    </row>
    <row r="1170" spans="1:6" customHeight="1" ht="13.8">
      <c r="A1170" t="s">
        <v>3122</v>
      </c>
      <c r="B1170" t="s">
        <v>3123</v>
      </c>
      <c r="C1170">
        <v>116233167</v>
      </c>
      <c r="D1170" t="s">
        <v>3124</v>
      </c>
      <c r="E1170">
        <v>13000</v>
      </c>
      <c r="F1170" t="s">
        <v>3102</v>
      </c>
    </row>
    <row r="1171" spans="1:6" customHeight="1" ht="13.8">
      <c r="A1171" t="s">
        <v>3125</v>
      </c>
      <c r="B1171" t="s">
        <v>3126</v>
      </c>
      <c r="C1171" s="1" t="s">
        <v>3127</v>
      </c>
      <c r="D1171" t="s">
        <v>3128</v>
      </c>
      <c r="E1171">
        <v>13000</v>
      </c>
      <c r="F1171" t="s">
        <v>3102</v>
      </c>
    </row>
    <row r="1172" spans="1:6" customHeight="1" ht="13.8">
      <c r="A1172" t="s">
        <v>3129</v>
      </c>
      <c r="B1172" t="s">
        <v>3130</v>
      </c>
      <c r="C1172" s="1" t="s">
        <v>3131</v>
      </c>
      <c r="D1172" t="s">
        <v>3132</v>
      </c>
      <c r="E1172">
        <v>13000</v>
      </c>
      <c r="F1172" t="s">
        <v>3102</v>
      </c>
    </row>
    <row r="1173" spans="1:6" customHeight="1" ht="13.8">
      <c r="A1173" t="s">
        <v>3133</v>
      </c>
      <c r="B1173" t="s">
        <v>3134</v>
      </c>
      <c r="C1173" s="1" t="s">
        <v>3135</v>
      </c>
      <c r="D1173" t="s">
        <v>3136</v>
      </c>
      <c r="E1173">
        <v>13000</v>
      </c>
      <c r="F1173" t="s">
        <v>3102</v>
      </c>
    </row>
    <row r="1174" spans="1:6" customHeight="1" ht="13.8">
      <c r="A1174" t="s">
        <v>3137</v>
      </c>
      <c r="B1174" t="s">
        <v>3138</v>
      </c>
      <c r="C1174">
        <v>116319823</v>
      </c>
      <c r="D1174" t="s">
        <v>3139</v>
      </c>
      <c r="E1174">
        <v>13000</v>
      </c>
      <c r="F1174" t="s">
        <v>3102</v>
      </c>
    </row>
    <row r="1175" spans="1:6" customHeight="1" ht="13.8">
      <c r="A1175" t="s">
        <v>3140</v>
      </c>
      <c r="B1175" t="s">
        <v>3141</v>
      </c>
      <c r="C1175">
        <v>112328803</v>
      </c>
      <c r="D1175" t="s">
        <v>3142</v>
      </c>
      <c r="E1175">
        <v>13000</v>
      </c>
      <c r="F1175" t="s">
        <v>3102</v>
      </c>
    </row>
    <row r="1176" spans="1:6" customHeight="1" ht="13.8">
      <c r="A1176" t="s">
        <v>3143</v>
      </c>
      <c r="B1176" t="s">
        <v>3144</v>
      </c>
      <c r="C1176">
        <v>108570993</v>
      </c>
      <c r="D1176" t="s">
        <v>3145</v>
      </c>
      <c r="E1176">
        <v>13000</v>
      </c>
      <c r="F1176" t="s">
        <v>3102</v>
      </c>
    </row>
    <row r="1177" spans="1:6" customHeight="1" ht="13.8">
      <c r="A1177" t="s">
        <v>3146</v>
      </c>
      <c r="B1177" t="s">
        <v>3147</v>
      </c>
      <c r="C1177" s="1" t="s">
        <v>3148</v>
      </c>
      <c r="D1177" t="s">
        <v>3149</v>
      </c>
      <c r="E1177">
        <v>13000</v>
      </c>
      <c r="F1177" t="s">
        <v>3102</v>
      </c>
    </row>
    <row r="1178" spans="1:6" customHeight="1" ht="13.8">
      <c r="A1178" t="s">
        <v>3150</v>
      </c>
      <c r="B1178" t="s">
        <v>3151</v>
      </c>
      <c r="C1178" s="1" t="s">
        <v>3152</v>
      </c>
      <c r="D1178" t="s">
        <v>3153</v>
      </c>
      <c r="E1178">
        <v>13000</v>
      </c>
      <c r="F1178" t="s">
        <v>3102</v>
      </c>
    </row>
    <row r="1179" spans="1:6" customHeight="1" ht="13.8">
      <c r="A1179" t="s">
        <v>3154</v>
      </c>
      <c r="B1179" t="s">
        <v>3155</v>
      </c>
      <c r="C1179" s="1" t="s">
        <v>3156</v>
      </c>
      <c r="D1179" t="s">
        <v>2949</v>
      </c>
      <c r="E1179">
        <v>13000</v>
      </c>
      <c r="F1179" t="s">
        <v>3102</v>
      </c>
    </row>
    <row r="1180" spans="1:6" customHeight="1" ht="13.8">
      <c r="A1180" t="s">
        <v>3157</v>
      </c>
      <c r="B1180" t="s">
        <v>3158</v>
      </c>
      <c r="C1180" s="1" t="s">
        <v>3159</v>
      </c>
      <c r="D1180" t="s">
        <v>3160</v>
      </c>
      <c r="E1180">
        <v>13000</v>
      </c>
      <c r="F1180" t="s">
        <v>3102</v>
      </c>
    </row>
    <row r="1181" spans="1:6" customHeight="1" ht="13.8">
      <c r="A1181" t="s">
        <v>3161</v>
      </c>
      <c r="B1181" t="s">
        <v>3162</v>
      </c>
      <c r="C1181" s="1" t="s">
        <v>3163</v>
      </c>
      <c r="D1181" t="s">
        <v>3164</v>
      </c>
      <c r="E1181">
        <v>13000</v>
      </c>
      <c r="F1181" t="s">
        <v>3102</v>
      </c>
    </row>
    <row r="1182" spans="1:6" customHeight="1" ht="13.8">
      <c r="A1182" t="s">
        <v>3165</v>
      </c>
      <c r="B1182" t="s">
        <v>3166</v>
      </c>
      <c r="C1182" s="1" t="s">
        <v>3167</v>
      </c>
      <c r="D1182" t="s">
        <v>3168</v>
      </c>
      <c r="E1182">
        <v>13000</v>
      </c>
      <c r="F1182" t="s">
        <v>3102</v>
      </c>
    </row>
    <row r="1183" spans="1:6" customHeight="1" ht="13.8">
      <c r="A1183" t="s">
        <v>3169</v>
      </c>
      <c r="B1183" t="s">
        <v>3170</v>
      </c>
      <c r="C1183" s="1" t="s">
        <v>3171</v>
      </c>
      <c r="D1183" t="s">
        <v>3172</v>
      </c>
      <c r="E1183">
        <v>13000</v>
      </c>
      <c r="F1183" t="s">
        <v>3102</v>
      </c>
    </row>
    <row r="1184" spans="1:6" customHeight="1" ht="13.8">
      <c r="A1184" t="s">
        <v>3173</v>
      </c>
      <c r="B1184" t="s">
        <v>3174</v>
      </c>
      <c r="C1184" s="1" t="s">
        <v>3175</v>
      </c>
      <c r="D1184" t="s">
        <v>3176</v>
      </c>
      <c r="E1184">
        <v>13000</v>
      </c>
      <c r="F1184" t="s">
        <v>3102</v>
      </c>
    </row>
    <row r="1185" spans="1:6" customHeight="1" ht="13.8">
      <c r="A1185" t="s">
        <v>3177</v>
      </c>
      <c r="B1185" t="s">
        <v>3178</v>
      </c>
      <c r="C1185" s="1" t="s">
        <v>3179</v>
      </c>
      <c r="D1185" t="s">
        <v>3180</v>
      </c>
      <c r="E1185">
        <v>13000</v>
      </c>
      <c r="F1185" t="s">
        <v>3102</v>
      </c>
    </row>
    <row r="1186" spans="1:6" customHeight="1" ht="13.8">
      <c r="A1186" t="s">
        <v>3181</v>
      </c>
      <c r="B1186" t="s">
        <v>3182</v>
      </c>
      <c r="C1186" s="1" t="s">
        <v>3183</v>
      </c>
      <c r="D1186" t="s">
        <v>3184</v>
      </c>
      <c r="E1186">
        <v>13000</v>
      </c>
      <c r="F1186" t="s">
        <v>3102</v>
      </c>
    </row>
    <row r="1187" spans="1:6" customHeight="1" ht="13.8">
      <c r="A1187" t="s">
        <v>3185</v>
      </c>
      <c r="B1187" t="s">
        <v>3186</v>
      </c>
      <c r="C1187" s="1" t="s">
        <v>3187</v>
      </c>
      <c r="D1187" t="s">
        <v>3188</v>
      </c>
      <c r="E1187">
        <v>13000</v>
      </c>
      <c r="F1187" t="s">
        <v>3102</v>
      </c>
    </row>
    <row r="1188" spans="1:6" customHeight="1" ht="13.8">
      <c r="A1188" t="s">
        <v>3189</v>
      </c>
      <c r="B1188" t="s">
        <v>3186</v>
      </c>
      <c r="C1188" s="1" t="s">
        <v>3187</v>
      </c>
      <c r="D1188" t="s">
        <v>3190</v>
      </c>
      <c r="E1188">
        <v>13000</v>
      </c>
      <c r="F1188" t="s">
        <v>3102</v>
      </c>
    </row>
    <row r="1189" spans="1:6" customHeight="1" ht="13.8">
      <c r="A1189" t="s">
        <v>3191</v>
      </c>
      <c r="B1189" t="s">
        <v>3186</v>
      </c>
      <c r="C1189" s="1" t="s">
        <v>3187</v>
      </c>
      <c r="D1189" t="s">
        <v>3192</v>
      </c>
      <c r="E1189">
        <v>-13000</v>
      </c>
      <c r="F1189" t="s">
        <v>3102</v>
      </c>
    </row>
    <row r="1190" spans="1:6" customHeight="1" ht="13.8">
      <c r="A1190" t="s">
        <v>3193</v>
      </c>
      <c r="B1190" t="s">
        <v>3194</v>
      </c>
      <c r="C1190" s="1" t="s">
        <v>3195</v>
      </c>
      <c r="D1190" t="s">
        <v>3196</v>
      </c>
      <c r="E1190">
        <v>13000</v>
      </c>
      <c r="F1190" t="s">
        <v>3102</v>
      </c>
    </row>
    <row r="1191" spans="1:6" customHeight="1" ht="13.8">
      <c r="A1191" t="s">
        <v>3197</v>
      </c>
      <c r="B1191" t="s">
        <v>3198</v>
      </c>
      <c r="C1191" s="1" t="s">
        <v>3199</v>
      </c>
      <c r="D1191" t="s">
        <v>3200</v>
      </c>
      <c r="E1191">
        <v>13000</v>
      </c>
      <c r="F1191" t="s">
        <v>3102</v>
      </c>
    </row>
    <row r="1192" spans="1:6" customHeight="1" ht="13.8">
      <c r="A1192" t="s">
        <v>3201</v>
      </c>
      <c r="B1192" t="s">
        <v>3202</v>
      </c>
      <c r="C1192">
        <v>114505466</v>
      </c>
      <c r="D1192" t="s">
        <v>3203</v>
      </c>
      <c r="E1192">
        <v>23000</v>
      </c>
      <c r="F1192" t="s">
        <v>3204</v>
      </c>
    </row>
    <row r="1193" spans="1:6" customHeight="1" ht="13.8">
      <c r="A1193" t="s">
        <v>3205</v>
      </c>
      <c r="B1193" t="s">
        <v>3206</v>
      </c>
      <c r="C1193" s="1" t="s">
        <v>3207</v>
      </c>
      <c r="D1193" t="s">
        <v>3208</v>
      </c>
      <c r="E1193">
        <v>23000</v>
      </c>
      <c r="F1193" t="s">
        <v>3204</v>
      </c>
    </row>
    <row r="1194" spans="1:6" customHeight="1" ht="13.8">
      <c r="A1194" t="s">
        <v>3209</v>
      </c>
      <c r="B1194" t="s">
        <v>3210</v>
      </c>
      <c r="C1194">
        <v>117341678</v>
      </c>
      <c r="D1194" t="s">
        <v>3211</v>
      </c>
      <c r="E1194">
        <v>23000</v>
      </c>
      <c r="F1194" t="s">
        <v>3204</v>
      </c>
    </row>
    <row r="1195" spans="1:6" customHeight="1" ht="13.8">
      <c r="A1195" t="s">
        <v>3212</v>
      </c>
      <c r="B1195" t="s">
        <v>3213</v>
      </c>
      <c r="C1195" s="1" t="s">
        <v>3214</v>
      </c>
      <c r="D1195" t="s">
        <v>3215</v>
      </c>
      <c r="E1195">
        <v>23000</v>
      </c>
      <c r="F1195" t="s">
        <v>3204</v>
      </c>
    </row>
    <row r="1196" spans="1:6" customHeight="1" ht="13.8">
      <c r="A1196" t="s">
        <v>3216</v>
      </c>
      <c r="B1196" t="s">
        <v>3217</v>
      </c>
      <c r="C1196" s="1" t="s">
        <v>3218</v>
      </c>
      <c r="D1196" t="s">
        <v>3219</v>
      </c>
      <c r="E1196">
        <v>23000</v>
      </c>
      <c r="F1196" t="s">
        <v>3204</v>
      </c>
    </row>
    <row r="1197" spans="1:6" customHeight="1" ht="13.8">
      <c r="A1197" t="s">
        <v>3220</v>
      </c>
      <c r="B1197" t="s">
        <v>3221</v>
      </c>
      <c r="C1197" s="1" t="s">
        <v>3222</v>
      </c>
      <c r="D1197" t="s">
        <v>3223</v>
      </c>
      <c r="E1197">
        <v>23000</v>
      </c>
      <c r="F1197" t="s">
        <v>3204</v>
      </c>
    </row>
    <row r="1198" spans="1:6" customHeight="1" ht="13.8">
      <c r="A1198" t="s">
        <v>3224</v>
      </c>
      <c r="B1198" t="s">
        <v>3225</v>
      </c>
      <c r="C1198" s="1" t="s">
        <v>3226</v>
      </c>
      <c r="D1198" t="s">
        <v>3227</v>
      </c>
      <c r="E1198">
        <v>23000</v>
      </c>
      <c r="F1198" t="s">
        <v>3204</v>
      </c>
    </row>
    <row r="1199" spans="1:6" customHeight="1" ht="13.8">
      <c r="A1199" t="s">
        <v>3228</v>
      </c>
      <c r="B1199" t="s">
        <v>3229</v>
      </c>
      <c r="C1199" s="1" t="s">
        <v>3230</v>
      </c>
      <c r="D1199" t="s">
        <v>3231</v>
      </c>
      <c r="E1199">
        <v>23000</v>
      </c>
      <c r="F1199" t="s">
        <v>3204</v>
      </c>
    </row>
    <row r="1200" spans="1:6" customHeight="1" ht="13.8">
      <c r="A1200" t="s">
        <v>3232</v>
      </c>
      <c r="B1200" t="s">
        <v>3233</v>
      </c>
      <c r="C1200" s="1" t="s">
        <v>3234</v>
      </c>
      <c r="D1200" t="s">
        <v>3235</v>
      </c>
      <c r="E1200">
        <v>23000</v>
      </c>
      <c r="F1200" t="s">
        <v>3204</v>
      </c>
    </row>
    <row r="1201" spans="1:6" customHeight="1" ht="13.8">
      <c r="A1201" t="s">
        <v>3236</v>
      </c>
      <c r="B1201" t="s">
        <v>3237</v>
      </c>
      <c r="C1201" s="1" t="s">
        <v>3238</v>
      </c>
      <c r="D1201" t="s">
        <v>3239</v>
      </c>
      <c r="E1201">
        <v>23000</v>
      </c>
      <c r="F1201" t="s">
        <v>3204</v>
      </c>
    </row>
    <row r="1202" spans="1:6" customHeight="1" ht="13.8">
      <c r="A1202" t="s">
        <v>3240</v>
      </c>
      <c r="B1202" t="s">
        <v>3229</v>
      </c>
      <c r="C1202" s="1" t="s">
        <v>3230</v>
      </c>
      <c r="D1202" t="s">
        <v>3241</v>
      </c>
      <c r="E1202">
        <v>23000</v>
      </c>
      <c r="F1202" t="s">
        <v>3204</v>
      </c>
    </row>
    <row r="1203" spans="1:6" customHeight="1" ht="13.8">
      <c r="A1203" t="s">
        <v>3242</v>
      </c>
      <c r="B1203" t="s">
        <v>3243</v>
      </c>
      <c r="C1203" s="1" t="s">
        <v>3244</v>
      </c>
      <c r="D1203" t="s">
        <v>3245</v>
      </c>
      <c r="E1203">
        <v>23000</v>
      </c>
      <c r="F1203" t="s">
        <v>3204</v>
      </c>
    </row>
    <row r="1204" spans="1:6" customHeight="1" ht="13.8">
      <c r="A1204" t="s">
        <v>3246</v>
      </c>
      <c r="B1204" t="s">
        <v>3247</v>
      </c>
      <c r="C1204" s="1" t="s">
        <v>3248</v>
      </c>
      <c r="D1204" t="s">
        <v>3249</v>
      </c>
      <c r="E1204">
        <v>23000</v>
      </c>
      <c r="F1204" t="s">
        <v>3204</v>
      </c>
    </row>
    <row r="1205" spans="1:6" customHeight="1" ht="13.8">
      <c r="A1205" t="s">
        <v>3250</v>
      </c>
      <c r="B1205" t="s">
        <v>3251</v>
      </c>
      <c r="C1205" s="1" t="s">
        <v>3252</v>
      </c>
      <c r="D1205" t="s">
        <v>3253</v>
      </c>
      <c r="E1205">
        <v>23000</v>
      </c>
      <c r="F1205" t="s">
        <v>3204</v>
      </c>
    </row>
    <row r="1206" spans="1:6" customHeight="1" ht="13.8">
      <c r="A1206" t="s">
        <v>3254</v>
      </c>
      <c r="B1206" t="s">
        <v>3255</v>
      </c>
      <c r="C1206" s="1" t="s">
        <v>3256</v>
      </c>
      <c r="D1206" t="s">
        <v>3257</v>
      </c>
      <c r="E1206">
        <v>23000</v>
      </c>
      <c r="F1206" t="s">
        <v>3204</v>
      </c>
    </row>
    <row r="1207" spans="1:6" customHeight="1" ht="13.8">
      <c r="A1207" t="s">
        <v>3258</v>
      </c>
      <c r="B1207" t="s">
        <v>3259</v>
      </c>
      <c r="C1207">
        <v>118926373</v>
      </c>
      <c r="D1207" t="s">
        <v>2699</v>
      </c>
      <c r="E1207">
        <v>23000</v>
      </c>
      <c r="F1207" t="s">
        <v>3204</v>
      </c>
    </row>
    <row r="1208" spans="1:6" customHeight="1" ht="13.8">
      <c r="A1208" t="s">
        <v>3260</v>
      </c>
      <c r="B1208" t="s">
        <v>3261</v>
      </c>
      <c r="C1208" s="1" t="s">
        <v>3262</v>
      </c>
      <c r="D1208" t="s">
        <v>3263</v>
      </c>
      <c r="E1208">
        <v>23000</v>
      </c>
      <c r="F1208" t="s">
        <v>3204</v>
      </c>
    </row>
    <row r="1209" spans="1:6" customHeight="1" ht="13.8">
      <c r="A1209" t="s">
        <v>3264</v>
      </c>
      <c r="B1209" t="s">
        <v>3265</v>
      </c>
      <c r="C1209" s="1" t="s">
        <v>3266</v>
      </c>
      <c r="D1209" t="s">
        <v>3267</v>
      </c>
      <c r="E1209">
        <v>23000</v>
      </c>
      <c r="F1209" t="s">
        <v>3204</v>
      </c>
    </row>
    <row r="1210" spans="1:6" customHeight="1" ht="13.8">
      <c r="A1210" t="s">
        <v>3268</v>
      </c>
      <c r="B1210" t="s">
        <v>2653</v>
      </c>
      <c r="C1210" s="1" t="s">
        <v>2654</v>
      </c>
      <c r="D1210" t="s">
        <v>3269</v>
      </c>
      <c r="E1210">
        <v>23000</v>
      </c>
      <c r="F1210" t="s">
        <v>3204</v>
      </c>
    </row>
    <row r="1211" spans="1:6" customHeight="1" ht="13.8">
      <c r="A1211" t="s">
        <v>3270</v>
      </c>
      <c r="B1211" t="s">
        <v>3271</v>
      </c>
      <c r="C1211" s="1" t="s">
        <v>3272</v>
      </c>
      <c r="D1211" t="s">
        <v>3273</v>
      </c>
      <c r="E1211">
        <v>23000</v>
      </c>
      <c r="F1211" t="s">
        <v>3204</v>
      </c>
    </row>
    <row r="1212" spans="1:6" customHeight="1" ht="13.8">
      <c r="A1212" t="s">
        <v>3274</v>
      </c>
      <c r="B1212" t="s">
        <v>3275</v>
      </c>
      <c r="C1212" s="1" t="s">
        <v>3276</v>
      </c>
      <c r="D1212" t="s">
        <v>3277</v>
      </c>
      <c r="E1212">
        <v>23000</v>
      </c>
      <c r="F1212" t="s">
        <v>3204</v>
      </c>
    </row>
    <row r="1213" spans="1:6" customHeight="1" ht="13.8">
      <c r="A1213" t="s">
        <v>3278</v>
      </c>
      <c r="B1213" t="s">
        <v>3279</v>
      </c>
      <c r="C1213" s="1" t="s">
        <v>3280</v>
      </c>
      <c r="D1213" t="s">
        <v>3281</v>
      </c>
      <c r="E1213">
        <v>25000</v>
      </c>
      <c r="F1213" t="s">
        <v>3282</v>
      </c>
    </row>
    <row r="1214" spans="1:6" customHeight="1" ht="13.8">
      <c r="A1214" t="s">
        <v>3283</v>
      </c>
      <c r="B1214" t="s">
        <v>3284</v>
      </c>
      <c r="C1214" s="1" t="s">
        <v>3285</v>
      </c>
      <c r="D1214" t="s">
        <v>3286</v>
      </c>
      <c r="E1214">
        <v>25000</v>
      </c>
      <c r="F1214" t="s">
        <v>3282</v>
      </c>
    </row>
    <row r="1215" spans="1:6" customHeight="1" ht="13.8">
      <c r="A1215" t="s">
        <v>3287</v>
      </c>
      <c r="B1215" t="s">
        <v>3288</v>
      </c>
      <c r="C1215" s="1" t="s">
        <v>3289</v>
      </c>
      <c r="D1215" t="s">
        <v>3290</v>
      </c>
      <c r="E1215">
        <v>25000</v>
      </c>
      <c r="F1215" t="s">
        <v>3282</v>
      </c>
    </row>
    <row r="1216" spans="1:6" customHeight="1" ht="13.8">
      <c r="A1216" t="s">
        <v>3291</v>
      </c>
      <c r="B1216" t="s">
        <v>3292</v>
      </c>
      <c r="C1216" s="1" t="s">
        <v>3293</v>
      </c>
      <c r="D1216" t="s">
        <v>3294</v>
      </c>
      <c r="E1216">
        <v>25000</v>
      </c>
      <c r="F1216" t="s">
        <v>3282</v>
      </c>
    </row>
    <row r="1217" spans="1:6" customHeight="1" ht="13.8">
      <c r="A1217" t="s">
        <v>3295</v>
      </c>
      <c r="B1217" t="s">
        <v>3296</v>
      </c>
      <c r="C1217" s="1" t="s">
        <v>3297</v>
      </c>
      <c r="D1217" t="s">
        <v>2707</v>
      </c>
      <c r="E1217">
        <v>25000</v>
      </c>
      <c r="F1217" t="s">
        <v>3282</v>
      </c>
    </row>
    <row r="1218" spans="1:6" customHeight="1" ht="13.8">
      <c r="A1218" t="s">
        <v>3298</v>
      </c>
      <c r="B1218" t="s">
        <v>3299</v>
      </c>
      <c r="C1218" s="1" t="s">
        <v>3300</v>
      </c>
      <c r="D1218" t="s">
        <v>3301</v>
      </c>
      <c r="E1218">
        <v>25000</v>
      </c>
      <c r="F1218" t="s">
        <v>3282</v>
      </c>
    </row>
    <row r="1219" spans="1:6" customHeight="1" ht="13.8">
      <c r="A1219" t="s">
        <v>3302</v>
      </c>
      <c r="B1219" t="s">
        <v>3303</v>
      </c>
      <c r="C1219" s="1" t="s">
        <v>3304</v>
      </c>
      <c r="D1219" t="s">
        <v>3305</v>
      </c>
      <c r="E1219">
        <v>25000</v>
      </c>
      <c r="F1219" t="s">
        <v>3282</v>
      </c>
    </row>
    <row r="1220" spans="1:6" customHeight="1" ht="13.8">
      <c r="A1220" t="s">
        <v>3306</v>
      </c>
      <c r="B1220" t="s">
        <v>3307</v>
      </c>
      <c r="C1220" s="1" t="s">
        <v>3308</v>
      </c>
      <c r="D1220" t="s">
        <v>3309</v>
      </c>
      <c r="E1220">
        <v>25000</v>
      </c>
      <c r="F1220" t="s">
        <v>3282</v>
      </c>
    </row>
    <row r="1221" spans="1:6" customHeight="1" ht="13.8">
      <c r="A1221" t="s">
        <v>3310</v>
      </c>
      <c r="B1221" t="s">
        <v>3311</v>
      </c>
      <c r="C1221" s="1" t="s">
        <v>3312</v>
      </c>
      <c r="D1221" t="s">
        <v>3313</v>
      </c>
      <c r="E1221">
        <v>25000</v>
      </c>
      <c r="F1221" t="s">
        <v>3282</v>
      </c>
    </row>
    <row r="1222" spans="1:6" customHeight="1" ht="13.8">
      <c r="A1222" t="s">
        <v>3314</v>
      </c>
      <c r="B1222" t="s">
        <v>3315</v>
      </c>
      <c r="C1222" s="1" t="s">
        <v>3316</v>
      </c>
      <c r="D1222" t="s">
        <v>3317</v>
      </c>
      <c r="E1222">
        <v>25000</v>
      </c>
      <c r="F1222" t="s">
        <v>3282</v>
      </c>
    </row>
    <row r="1223" spans="1:6" customHeight="1" ht="13.8">
      <c r="A1223" t="s">
        <v>3318</v>
      </c>
      <c r="B1223" t="s">
        <v>3319</v>
      </c>
      <c r="C1223" s="1" t="s">
        <v>3320</v>
      </c>
      <c r="D1223" t="s">
        <v>3321</v>
      </c>
      <c r="E1223">
        <v>25000</v>
      </c>
      <c r="F1223" t="s">
        <v>3282</v>
      </c>
    </row>
    <row r="1224" spans="1:6" customHeight="1" ht="13.8">
      <c r="A1224" t="s">
        <v>3322</v>
      </c>
      <c r="B1224" t="s">
        <v>3323</v>
      </c>
      <c r="C1224" s="1" t="s">
        <v>3324</v>
      </c>
      <c r="D1224" t="s">
        <v>3325</v>
      </c>
      <c r="E1224">
        <v>25000</v>
      </c>
      <c r="F1224" t="s">
        <v>3282</v>
      </c>
    </row>
    <row r="1225" spans="1:6" customHeight="1" ht="13.8">
      <c r="A1225" t="s">
        <v>3326</v>
      </c>
      <c r="B1225" t="s">
        <v>3327</v>
      </c>
      <c r="C1225" s="1" t="s">
        <v>3328</v>
      </c>
      <c r="D1225" t="s">
        <v>3329</v>
      </c>
      <c r="E1225">
        <v>25000</v>
      </c>
      <c r="F1225" t="s">
        <v>3282</v>
      </c>
    </row>
    <row r="1226" spans="1:6" customHeight="1" ht="13.8">
      <c r="A1226" t="s">
        <v>3330</v>
      </c>
      <c r="B1226" t="s">
        <v>3331</v>
      </c>
      <c r="C1226" s="1" t="s">
        <v>3332</v>
      </c>
      <c r="D1226" t="s">
        <v>3333</v>
      </c>
      <c r="E1226">
        <v>25000</v>
      </c>
      <c r="F1226" t="s">
        <v>3282</v>
      </c>
    </row>
    <row r="1227" spans="1:6" customHeight="1" ht="13.8">
      <c r="A1227" t="s">
        <v>3334</v>
      </c>
      <c r="B1227" t="s">
        <v>3335</v>
      </c>
      <c r="C1227" s="1" t="s">
        <v>3336</v>
      </c>
      <c r="D1227" t="s">
        <v>2329</v>
      </c>
      <c r="E1227">
        <v>25000</v>
      </c>
      <c r="F1227" t="s">
        <v>3282</v>
      </c>
    </row>
    <row r="1228" spans="1:6" customHeight="1" ht="13.8">
      <c r="A1228" t="s">
        <v>3337</v>
      </c>
      <c r="B1228" t="s">
        <v>3331</v>
      </c>
      <c r="C1228" s="1" t="s">
        <v>3338</v>
      </c>
      <c r="D1228" t="s">
        <v>3339</v>
      </c>
      <c r="E1228">
        <v>25000</v>
      </c>
      <c r="F1228" t="s">
        <v>3282</v>
      </c>
    </row>
    <row r="1229" spans="1:6" customHeight="1" ht="13.8">
      <c r="A1229" t="s">
        <v>3340</v>
      </c>
      <c r="B1229" t="s">
        <v>3341</v>
      </c>
      <c r="C1229" s="1" t="s">
        <v>3342</v>
      </c>
      <c r="D1229" t="s">
        <v>3343</v>
      </c>
      <c r="E1229">
        <v>25000</v>
      </c>
      <c r="F1229" t="s">
        <v>3282</v>
      </c>
    </row>
    <row r="1230" spans="1:6" customHeight="1" ht="13.8">
      <c r="A1230" t="s">
        <v>3344</v>
      </c>
      <c r="B1230" t="s">
        <v>3345</v>
      </c>
      <c r="C1230" s="1" t="s">
        <v>3346</v>
      </c>
      <c r="D1230" t="s">
        <v>3347</v>
      </c>
      <c r="E1230">
        <v>25000</v>
      </c>
      <c r="F1230" t="s">
        <v>3282</v>
      </c>
    </row>
    <row r="1231" spans="1:6" customHeight="1" ht="13.8">
      <c r="A1231" t="s">
        <v>3348</v>
      </c>
      <c r="B1231" t="s">
        <v>3349</v>
      </c>
      <c r="C1231" s="1" t="s">
        <v>3350</v>
      </c>
      <c r="D1231" t="s">
        <v>3351</v>
      </c>
      <c r="E1231">
        <v>25000</v>
      </c>
      <c r="F1231" t="s">
        <v>3282</v>
      </c>
    </row>
    <row r="1232" spans="1:6" customHeight="1" ht="13.8">
      <c r="A1232" t="s">
        <v>3133</v>
      </c>
      <c r="B1232" t="s">
        <v>3134</v>
      </c>
      <c r="C1232" s="1" t="s">
        <v>3135</v>
      </c>
      <c r="D1232" t="s">
        <v>3136</v>
      </c>
      <c r="E1232">
        <v>25000</v>
      </c>
      <c r="F1232" t="s">
        <v>3282</v>
      </c>
    </row>
    <row r="1233" spans="1:6" customHeight="1" ht="13.8">
      <c r="A1233" t="s">
        <v>3352</v>
      </c>
      <c r="B1233" t="s">
        <v>3353</v>
      </c>
      <c r="C1233" s="1" t="s">
        <v>3354</v>
      </c>
      <c r="D1233" t="s">
        <v>3355</v>
      </c>
      <c r="E1233">
        <v>25000</v>
      </c>
      <c r="F1233" t="s">
        <v>3282</v>
      </c>
    </row>
    <row r="1234" spans="1:6" customHeight="1" ht="13.8">
      <c r="A1234" t="s">
        <v>3356</v>
      </c>
      <c r="B1234" t="s">
        <v>3357</v>
      </c>
      <c r="C1234" s="1" t="s">
        <v>3358</v>
      </c>
      <c r="D1234" t="s">
        <v>3359</v>
      </c>
      <c r="E1234">
        <v>25000</v>
      </c>
      <c r="F1234" t="s">
        <v>3282</v>
      </c>
    </row>
    <row r="1235" spans="1:6" customHeight="1" ht="13.8">
      <c r="A1235" t="s">
        <v>3360</v>
      </c>
      <c r="B1235" t="s">
        <v>3361</v>
      </c>
      <c r="C1235" s="1" t="s">
        <v>3362</v>
      </c>
      <c r="D1235" t="s">
        <v>1462</v>
      </c>
      <c r="E1235">
        <v>25000</v>
      </c>
      <c r="F1235" t="s">
        <v>3282</v>
      </c>
    </row>
    <row r="1236" spans="1:6" customHeight="1" ht="13.8">
      <c r="A1236" t="s">
        <v>3363</v>
      </c>
      <c r="B1236" t="s">
        <v>3364</v>
      </c>
      <c r="C1236" s="1" t="s">
        <v>3365</v>
      </c>
      <c r="D1236" t="s">
        <v>3366</v>
      </c>
      <c r="E1236">
        <v>25000</v>
      </c>
      <c r="F1236" t="s">
        <v>3282</v>
      </c>
    </row>
    <row r="1237" spans="1:6" customHeight="1" ht="13.8">
      <c r="A1237" t="s">
        <v>3367</v>
      </c>
      <c r="B1237" t="s">
        <v>3368</v>
      </c>
      <c r="C1237" s="1" t="s">
        <v>3369</v>
      </c>
      <c r="D1237" t="s">
        <v>3370</v>
      </c>
      <c r="E1237">
        <v>25000</v>
      </c>
      <c r="F1237" t="s">
        <v>3282</v>
      </c>
    </row>
    <row r="1238" spans="1:6" customHeight="1" ht="13.8">
      <c r="A1238" t="s">
        <v>3371</v>
      </c>
      <c r="B1238" t="s">
        <v>3372</v>
      </c>
      <c r="C1238" s="1" t="s">
        <v>3373</v>
      </c>
      <c r="D1238" t="s">
        <v>3374</v>
      </c>
      <c r="E1238">
        <v>25000</v>
      </c>
      <c r="F1238" t="s">
        <v>3282</v>
      </c>
    </row>
    <row r="1239" spans="1:6" customHeight="1" ht="13.8">
      <c r="A1239" t="s">
        <v>3375</v>
      </c>
      <c r="B1239" t="s">
        <v>3376</v>
      </c>
      <c r="C1239" s="1" t="s">
        <v>3377</v>
      </c>
      <c r="D1239" t="s">
        <v>1272</v>
      </c>
      <c r="E1239">
        <v>25000</v>
      </c>
      <c r="F1239" t="s">
        <v>3282</v>
      </c>
    </row>
    <row r="1240" spans="1:6" customHeight="1" ht="13.8">
      <c r="A1240" t="s">
        <v>3378</v>
      </c>
      <c r="B1240" t="s">
        <v>3379</v>
      </c>
      <c r="C1240" s="1" t="s">
        <v>3380</v>
      </c>
      <c r="D1240" t="s">
        <v>3381</v>
      </c>
      <c r="E1240">
        <v>25000</v>
      </c>
      <c r="F1240" t="s">
        <v>3282</v>
      </c>
    </row>
    <row r="1241" spans="1:6" customHeight="1" ht="13.8">
      <c r="A1241" t="s">
        <v>3382</v>
      </c>
      <c r="B1241" t="s">
        <v>3383</v>
      </c>
      <c r="C1241" s="1" t="s">
        <v>3384</v>
      </c>
      <c r="D1241" t="s">
        <v>3385</v>
      </c>
      <c r="E1241">
        <v>25000</v>
      </c>
      <c r="F1241" t="s">
        <v>3282</v>
      </c>
    </row>
    <row r="1242" spans="1:6" customHeight="1" ht="13.8">
      <c r="A1242" t="s">
        <v>3386</v>
      </c>
      <c r="B1242" t="s">
        <v>3387</v>
      </c>
      <c r="C1242" s="1" t="s">
        <v>3388</v>
      </c>
      <c r="D1242" t="s">
        <v>3389</v>
      </c>
      <c r="E1242">
        <v>25000</v>
      </c>
      <c r="F1242" t="s">
        <v>3282</v>
      </c>
    </row>
    <row r="1243" spans="1:6" customHeight="1" ht="13.8">
      <c r="A1243" t="s">
        <v>3390</v>
      </c>
      <c r="B1243" t="s">
        <v>3391</v>
      </c>
      <c r="C1243" s="1" t="s">
        <v>3392</v>
      </c>
      <c r="D1243" t="s">
        <v>3393</v>
      </c>
      <c r="E1243">
        <v>25000</v>
      </c>
      <c r="F1243" t="s">
        <v>3282</v>
      </c>
    </row>
    <row r="1244" spans="1:6" customHeight="1" ht="13.8">
      <c r="A1244" t="s">
        <v>3394</v>
      </c>
      <c r="B1244" t="s">
        <v>1230</v>
      </c>
      <c r="C1244" s="1" t="s">
        <v>3395</v>
      </c>
      <c r="D1244" t="s">
        <v>3396</v>
      </c>
      <c r="E1244">
        <v>25000</v>
      </c>
      <c r="F1244" t="s">
        <v>3282</v>
      </c>
    </row>
    <row r="1245" spans="1:6" customHeight="1" ht="13.8">
      <c r="A1245" t="s">
        <v>3397</v>
      </c>
      <c r="B1245" t="s">
        <v>3398</v>
      </c>
      <c r="C1245" s="1" t="s">
        <v>3399</v>
      </c>
      <c r="D1245" t="s">
        <v>3400</v>
      </c>
      <c r="E1245">
        <v>25000</v>
      </c>
      <c r="F1245" t="s">
        <v>3282</v>
      </c>
    </row>
    <row r="1246" spans="1:6" customHeight="1" ht="13.8">
      <c r="A1246" t="s">
        <v>3401</v>
      </c>
      <c r="B1246" t="s">
        <v>3402</v>
      </c>
      <c r="C1246" s="1" t="s">
        <v>3403</v>
      </c>
      <c r="D1246" t="s">
        <v>3404</v>
      </c>
      <c r="E1246">
        <v>25000</v>
      </c>
      <c r="F1246" t="s">
        <v>3282</v>
      </c>
    </row>
    <row r="1247" spans="1:6" customHeight="1" ht="13.8">
      <c r="A1247" t="s">
        <v>3405</v>
      </c>
      <c r="B1247" t="s">
        <v>3406</v>
      </c>
      <c r="C1247">
        <v>106817432</v>
      </c>
      <c r="D1247" t="s">
        <v>3407</v>
      </c>
      <c r="E1247">
        <v>25000</v>
      </c>
      <c r="F1247" t="s">
        <v>3282</v>
      </c>
    </row>
    <row r="1248" spans="1:6" customHeight="1" ht="13.8">
      <c r="A1248" t="s">
        <v>3408</v>
      </c>
      <c r="B1248" t="s">
        <v>3409</v>
      </c>
      <c r="C1248">
        <v>108518764</v>
      </c>
      <c r="D1248" t="s">
        <v>3410</v>
      </c>
      <c r="E1248">
        <v>25000</v>
      </c>
      <c r="F1248" t="s">
        <v>3282</v>
      </c>
    </row>
    <row r="1249" spans="1:6" customHeight="1" ht="13.8">
      <c r="A1249" t="s">
        <v>3411</v>
      </c>
      <c r="B1249" t="s">
        <v>3412</v>
      </c>
      <c r="C1249" s="1" t="s">
        <v>3413</v>
      </c>
      <c r="D1249" t="s">
        <v>3414</v>
      </c>
      <c r="E1249">
        <v>25000</v>
      </c>
      <c r="F1249" t="s">
        <v>3282</v>
      </c>
    </row>
    <row r="1250" spans="1:6" customHeight="1" ht="13.8">
      <c r="A1250" t="s">
        <v>3415</v>
      </c>
      <c r="B1250" t="s">
        <v>3416</v>
      </c>
      <c r="C1250" s="1" t="s">
        <v>3417</v>
      </c>
      <c r="D1250" t="s">
        <v>3418</v>
      </c>
      <c r="E1250">
        <v>25000</v>
      </c>
      <c r="F1250" t="s">
        <v>3282</v>
      </c>
    </row>
    <row r="1251" spans="1:6" customHeight="1" ht="13.8">
      <c r="A1251" t="s">
        <v>3419</v>
      </c>
      <c r="B1251" t="s">
        <v>3420</v>
      </c>
      <c r="C1251" s="1" t="s">
        <v>3421</v>
      </c>
      <c r="D1251" t="s">
        <v>3422</v>
      </c>
      <c r="E1251">
        <v>25000</v>
      </c>
      <c r="F1251" t="s">
        <v>3282</v>
      </c>
    </row>
    <row r="1252" spans="1:6" customHeight="1" ht="13.8">
      <c r="A1252" t="s">
        <v>3423</v>
      </c>
      <c r="B1252" t="s">
        <v>3424</v>
      </c>
      <c r="C1252">
        <v>112920029</v>
      </c>
      <c r="D1252" t="s">
        <v>2913</v>
      </c>
      <c r="E1252">
        <v>25000</v>
      </c>
      <c r="F1252" t="s">
        <v>3282</v>
      </c>
    </row>
    <row r="1253" spans="1:6" customHeight="1" ht="13.8">
      <c r="A1253" t="s">
        <v>3425</v>
      </c>
      <c r="B1253" t="s">
        <v>3426</v>
      </c>
      <c r="C1253" s="1" t="s">
        <v>3427</v>
      </c>
      <c r="D1253" t="s">
        <v>3428</v>
      </c>
      <c r="E1253">
        <v>25000</v>
      </c>
      <c r="F1253" t="s">
        <v>3282</v>
      </c>
    </row>
    <row r="1254" spans="1:6" customHeight="1" ht="13.8">
      <c r="A1254" t="s">
        <v>3429</v>
      </c>
      <c r="B1254" t="s">
        <v>3430</v>
      </c>
      <c r="C1254" s="1" t="s">
        <v>3431</v>
      </c>
      <c r="D1254" t="s">
        <v>3432</v>
      </c>
      <c r="E1254">
        <v>25000</v>
      </c>
      <c r="F1254" t="s">
        <v>3282</v>
      </c>
    </row>
    <row r="1255" spans="1:6" customHeight="1" ht="13.8">
      <c r="A1255" t="s">
        <v>3433</v>
      </c>
      <c r="B1255" t="s">
        <v>3434</v>
      </c>
      <c r="C1255" s="1" t="s">
        <v>3435</v>
      </c>
      <c r="D1255" t="s">
        <v>3436</v>
      </c>
      <c r="E1255">
        <v>25000</v>
      </c>
      <c r="F1255" t="s">
        <v>3282</v>
      </c>
    </row>
    <row r="1256" spans="1:6" customHeight="1" ht="13.8">
      <c r="A1256" t="s">
        <v>3437</v>
      </c>
      <c r="B1256" t="s">
        <v>3438</v>
      </c>
      <c r="C1256" s="1" t="s">
        <v>3439</v>
      </c>
      <c r="D1256" t="s">
        <v>3440</v>
      </c>
      <c r="E1256">
        <v>25000</v>
      </c>
      <c r="F1256" t="s">
        <v>3441</v>
      </c>
    </row>
    <row r="1257" spans="1:6" customHeight="1" ht="13.8">
      <c r="A1257" t="s">
        <v>3442</v>
      </c>
      <c r="B1257" t="s">
        <v>3443</v>
      </c>
      <c r="C1257" s="1" t="s">
        <v>3444</v>
      </c>
      <c r="D1257" t="s">
        <v>3445</v>
      </c>
      <c r="E1257">
        <v>25000</v>
      </c>
      <c r="F1257" t="s">
        <v>3441</v>
      </c>
    </row>
    <row r="1258" spans="1:6" customHeight="1" ht="13.8">
      <c r="A1258" t="s">
        <v>3419</v>
      </c>
      <c r="B1258" t="s">
        <v>3420</v>
      </c>
      <c r="C1258" s="1" t="s">
        <v>3421</v>
      </c>
      <c r="D1258" t="s">
        <v>3422</v>
      </c>
      <c r="E1258">
        <v>25000</v>
      </c>
      <c r="F1258" t="s">
        <v>3441</v>
      </c>
    </row>
    <row r="1259" spans="1:6" customHeight="1" ht="13.8">
      <c r="A1259" t="s">
        <v>3446</v>
      </c>
      <c r="B1259" t="s">
        <v>3447</v>
      </c>
      <c r="C1259" s="1" t="s">
        <v>3448</v>
      </c>
      <c r="D1259" t="s">
        <v>3449</v>
      </c>
      <c r="E1259">
        <v>25000</v>
      </c>
      <c r="F1259" t="s">
        <v>3441</v>
      </c>
    </row>
    <row r="1260" spans="1:6" customHeight="1" ht="13.8">
      <c r="A1260" t="s">
        <v>219</v>
      </c>
      <c r="B1260" t="s">
        <v>220</v>
      </c>
      <c r="C1260" s="1" t="s">
        <v>221</v>
      </c>
      <c r="D1260" t="s">
        <v>222</v>
      </c>
      <c r="E1260">
        <v>25000</v>
      </c>
      <c r="F1260" t="s">
        <v>3441</v>
      </c>
    </row>
    <row r="1261" spans="1:6" customHeight="1" ht="13.8">
      <c r="A1261" t="s">
        <v>3450</v>
      </c>
      <c r="B1261" t="s">
        <v>3451</v>
      </c>
      <c r="C1261">
        <v>114455392</v>
      </c>
      <c r="D1261" t="s">
        <v>3452</v>
      </c>
      <c r="E1261">
        <v>25000</v>
      </c>
      <c r="F1261" t="s">
        <v>3441</v>
      </c>
    </row>
    <row r="1262" spans="1:6" customHeight="1" ht="13.8">
      <c r="A1262" t="s">
        <v>3453</v>
      </c>
      <c r="B1262" t="s">
        <v>3454</v>
      </c>
      <c r="C1262" s="1" t="s">
        <v>3455</v>
      </c>
      <c r="D1262" t="s">
        <v>3456</v>
      </c>
      <c r="E1262">
        <v>25000</v>
      </c>
      <c r="F1262" t="s">
        <v>3441</v>
      </c>
    </row>
    <row r="1263" spans="1:6" customHeight="1" ht="13.8">
      <c r="A1263" t="s">
        <v>3457</v>
      </c>
      <c r="B1263" t="s">
        <v>3458</v>
      </c>
      <c r="C1263" s="1" t="s">
        <v>3459</v>
      </c>
      <c r="D1263" t="s">
        <v>3460</v>
      </c>
      <c r="E1263">
        <v>25000</v>
      </c>
      <c r="F1263" t="s">
        <v>3441</v>
      </c>
    </row>
    <row r="1264" spans="1:6" customHeight="1" ht="13.8">
      <c r="A1264" t="s">
        <v>3461</v>
      </c>
      <c r="B1264" t="s">
        <v>3462</v>
      </c>
      <c r="C1264">
        <v>107058304</v>
      </c>
      <c r="D1264" t="s">
        <v>3463</v>
      </c>
      <c r="E1264">
        <v>25000</v>
      </c>
      <c r="F1264" t="s">
        <v>3441</v>
      </c>
    </row>
    <row r="1265" spans="1:6" customHeight="1" ht="13.8">
      <c r="A1265" t="s">
        <v>3464</v>
      </c>
      <c r="B1265" t="s">
        <v>3465</v>
      </c>
      <c r="C1265" s="1" t="s">
        <v>3466</v>
      </c>
      <c r="D1265" t="s">
        <v>3467</v>
      </c>
      <c r="E1265">
        <v>25000</v>
      </c>
      <c r="F1265" t="s">
        <v>3441</v>
      </c>
    </row>
    <row r="1266" spans="1:6" customHeight="1" ht="13.8">
      <c r="A1266" t="s">
        <v>3468</v>
      </c>
      <c r="B1266" t="s">
        <v>3469</v>
      </c>
      <c r="C1266">
        <v>116460736</v>
      </c>
      <c r="D1266" t="s">
        <v>3470</v>
      </c>
      <c r="E1266">
        <v>25000</v>
      </c>
      <c r="F1266" t="s">
        <v>3441</v>
      </c>
    </row>
    <row r="1267" spans="1:6" customHeight="1" ht="13.8">
      <c r="A1267" t="s">
        <v>3471</v>
      </c>
      <c r="B1267" t="s">
        <v>3472</v>
      </c>
      <c r="C1267" s="1" t="s">
        <v>3473</v>
      </c>
      <c r="D1267" t="s">
        <v>3474</v>
      </c>
      <c r="E1267">
        <v>25000</v>
      </c>
      <c r="F1267" t="s">
        <v>3441</v>
      </c>
    </row>
    <row r="1268" spans="1:6" customHeight="1" ht="13.8">
      <c r="A1268" t="s">
        <v>300</v>
      </c>
      <c r="B1268" t="s">
        <v>301</v>
      </c>
      <c r="C1268" s="1" t="s">
        <v>302</v>
      </c>
      <c r="D1268" t="s">
        <v>303</v>
      </c>
      <c r="E1268">
        <v>25000</v>
      </c>
      <c r="F1268" t="s">
        <v>3441</v>
      </c>
    </row>
    <row r="1269" spans="1:6" customHeight="1" ht="13.8">
      <c r="A1269" t="s">
        <v>3475</v>
      </c>
      <c r="B1269" t="s">
        <v>3476</v>
      </c>
      <c r="C1269" s="1" t="s">
        <v>3477</v>
      </c>
      <c r="D1269" t="s">
        <v>3478</v>
      </c>
      <c r="E1269">
        <v>25000</v>
      </c>
      <c r="F1269" t="s">
        <v>3441</v>
      </c>
    </row>
    <row r="1270" spans="1:6" customHeight="1" ht="13.8">
      <c r="A1270" t="s">
        <v>1949</v>
      </c>
      <c r="B1270" t="s">
        <v>1950</v>
      </c>
      <c r="C1270">
        <v>112136248</v>
      </c>
      <c r="D1270" t="s">
        <v>1951</v>
      </c>
      <c r="E1270">
        <v>25000</v>
      </c>
      <c r="F1270" t="s">
        <v>3441</v>
      </c>
    </row>
    <row r="1271" spans="1:6" customHeight="1" ht="13.8">
      <c r="A1271" t="s">
        <v>3367</v>
      </c>
      <c r="B1271" t="s">
        <v>3368</v>
      </c>
      <c r="C1271" s="1" t="s">
        <v>3369</v>
      </c>
      <c r="D1271" t="s">
        <v>3370</v>
      </c>
      <c r="E1271">
        <v>25000</v>
      </c>
      <c r="F1271" t="s">
        <v>3441</v>
      </c>
    </row>
    <row r="1272" spans="1:6" customHeight="1" ht="13.8">
      <c r="A1272" t="s">
        <v>80</v>
      </c>
      <c r="B1272" t="s">
        <v>81</v>
      </c>
      <c r="C1272" s="1" t="s">
        <v>82</v>
      </c>
      <c r="D1272" t="s">
        <v>83</v>
      </c>
      <c r="E1272">
        <v>25000</v>
      </c>
      <c r="F1272" t="s">
        <v>3441</v>
      </c>
    </row>
    <row r="1273" spans="1:6" customHeight="1" ht="13.8">
      <c r="A1273" t="s">
        <v>3479</v>
      </c>
      <c r="B1273" t="s">
        <v>3480</v>
      </c>
      <c r="C1273" s="1" t="s">
        <v>3481</v>
      </c>
      <c r="D1273" t="s">
        <v>3482</v>
      </c>
      <c r="E1273">
        <v>25000</v>
      </c>
      <c r="F1273" t="s">
        <v>3441</v>
      </c>
    </row>
    <row r="1274" spans="1:6" customHeight="1" ht="13.8">
      <c r="A1274" t="s">
        <v>3483</v>
      </c>
      <c r="B1274" t="s">
        <v>3484</v>
      </c>
      <c r="C1274" s="1" t="s">
        <v>3485</v>
      </c>
      <c r="D1274" t="s">
        <v>2719</v>
      </c>
      <c r="E1274">
        <v>25000</v>
      </c>
      <c r="F1274" t="s">
        <v>3441</v>
      </c>
    </row>
    <row r="1275" spans="1:6" customHeight="1" ht="13.8">
      <c r="A1275" t="s">
        <v>3486</v>
      </c>
      <c r="B1275" t="s">
        <v>3487</v>
      </c>
      <c r="C1275" s="1" t="s">
        <v>3488</v>
      </c>
      <c r="D1275" t="s">
        <v>3489</v>
      </c>
      <c r="E1275">
        <v>25000</v>
      </c>
      <c r="F1275" t="s">
        <v>3441</v>
      </c>
    </row>
    <row r="1276" spans="1:6" customHeight="1" ht="13.8">
      <c r="A1276" t="s">
        <v>3490</v>
      </c>
      <c r="B1276" t="s">
        <v>3491</v>
      </c>
      <c r="C1276">
        <v>109242086</v>
      </c>
      <c r="D1276" t="s">
        <v>3492</v>
      </c>
      <c r="E1276">
        <v>25000</v>
      </c>
      <c r="F1276" t="s">
        <v>3441</v>
      </c>
    </row>
    <row r="1277" spans="1:6" customHeight="1" ht="13.8">
      <c r="A1277" t="s">
        <v>3493</v>
      </c>
      <c r="B1277" t="s">
        <v>3494</v>
      </c>
      <c r="C1277">
        <v>110334345</v>
      </c>
      <c r="D1277" t="s">
        <v>3495</v>
      </c>
      <c r="E1277">
        <v>25000</v>
      </c>
      <c r="F1277" t="s">
        <v>3441</v>
      </c>
    </row>
    <row r="1278" spans="1:6" customHeight="1" ht="13.8">
      <c r="A1278" t="s">
        <v>3496</v>
      </c>
      <c r="B1278" t="s">
        <v>3497</v>
      </c>
      <c r="C1278" s="1" t="s">
        <v>3498</v>
      </c>
      <c r="D1278" t="s">
        <v>3499</v>
      </c>
      <c r="E1278">
        <v>25000</v>
      </c>
      <c r="F1278" t="s">
        <v>3441</v>
      </c>
    </row>
    <row r="1279" spans="1:6" customHeight="1" ht="13.8">
      <c r="A1279" t="s">
        <v>3500</v>
      </c>
      <c r="B1279" t="s">
        <v>3501</v>
      </c>
      <c r="C1279" s="1" t="s">
        <v>3502</v>
      </c>
      <c r="D1279" t="s">
        <v>1692</v>
      </c>
      <c r="E1279">
        <v>25000</v>
      </c>
      <c r="F1279" t="s">
        <v>3441</v>
      </c>
    </row>
    <row r="1280" spans="1:6" customHeight="1" ht="13.8">
      <c r="A1280" t="s">
        <v>3503</v>
      </c>
      <c r="B1280" t="s">
        <v>3504</v>
      </c>
      <c r="C1280" s="1" t="s">
        <v>3505</v>
      </c>
      <c r="D1280" t="s">
        <v>3506</v>
      </c>
      <c r="E1280">
        <v>25000</v>
      </c>
      <c r="F1280" t="s">
        <v>3441</v>
      </c>
    </row>
    <row r="1281" spans="1:6" customHeight="1" ht="13.8">
      <c r="A1281" t="s">
        <v>3363</v>
      </c>
      <c r="B1281" t="s">
        <v>3364</v>
      </c>
      <c r="C1281" s="1" t="s">
        <v>3365</v>
      </c>
      <c r="D1281" t="s">
        <v>3366</v>
      </c>
      <c r="E1281">
        <v>25000</v>
      </c>
      <c r="F1281" t="s">
        <v>3441</v>
      </c>
    </row>
    <row r="1282" spans="1:6" customHeight="1" ht="13.8">
      <c r="A1282" t="s">
        <v>3507</v>
      </c>
      <c r="B1282" t="s">
        <v>3508</v>
      </c>
      <c r="C1282" s="1" t="s">
        <v>3509</v>
      </c>
      <c r="D1282" t="s">
        <v>3510</v>
      </c>
      <c r="E1282">
        <v>25000</v>
      </c>
      <c r="F1282" t="s">
        <v>3441</v>
      </c>
    </row>
    <row r="1283" spans="1:6" customHeight="1" ht="13.8">
      <c r="A1283" t="s">
        <v>3511</v>
      </c>
      <c r="B1283" t="s">
        <v>3512</v>
      </c>
      <c r="C1283" s="1" t="s">
        <v>3513</v>
      </c>
      <c r="D1283" t="s">
        <v>3514</v>
      </c>
      <c r="E1283">
        <v>25000</v>
      </c>
      <c r="F1283" t="s">
        <v>3441</v>
      </c>
    </row>
    <row r="1284" spans="1:6" customHeight="1" ht="13.8">
      <c r="A1284" t="s">
        <v>3515</v>
      </c>
      <c r="B1284" t="s">
        <v>3516</v>
      </c>
      <c r="C1284" s="1" t="s">
        <v>3517</v>
      </c>
      <c r="D1284" t="s">
        <v>3518</v>
      </c>
      <c r="E1284">
        <v>25000</v>
      </c>
      <c r="F1284" t="s">
        <v>3441</v>
      </c>
    </row>
    <row r="1285" spans="1:6" customHeight="1" ht="13.8">
      <c r="A1285" t="s">
        <v>3519</v>
      </c>
      <c r="B1285" t="s">
        <v>3520</v>
      </c>
      <c r="C1285">
        <v>136037983</v>
      </c>
      <c r="D1285" t="s">
        <v>3521</v>
      </c>
      <c r="E1285">
        <v>25000</v>
      </c>
      <c r="F1285" t="s">
        <v>3441</v>
      </c>
    </row>
    <row r="1286" spans="1:6" customHeight="1" ht="13.8">
      <c r="A1286" t="s">
        <v>3522</v>
      </c>
      <c r="B1286" t="s">
        <v>3523</v>
      </c>
      <c r="C1286">
        <v>128029457</v>
      </c>
      <c r="D1286" t="s">
        <v>3524</v>
      </c>
      <c r="E1286">
        <v>25000</v>
      </c>
      <c r="F1286" t="s">
        <v>3441</v>
      </c>
    </row>
    <row r="1287" spans="1:6" customHeight="1" ht="13.8">
      <c r="A1287" t="s">
        <v>3161</v>
      </c>
      <c r="B1287" t="s">
        <v>3162</v>
      </c>
      <c r="C1287" s="1" t="s">
        <v>3163</v>
      </c>
      <c r="D1287" t="s">
        <v>3164</v>
      </c>
      <c r="E1287">
        <v>25000</v>
      </c>
      <c r="F1287" t="s">
        <v>3441</v>
      </c>
    </row>
    <row r="1288" spans="1:6" customHeight="1" ht="13.8">
      <c r="A1288" t="s">
        <v>3525</v>
      </c>
      <c r="B1288" t="s">
        <v>3526</v>
      </c>
      <c r="C1288" s="1" t="s">
        <v>3527</v>
      </c>
      <c r="D1288" t="s">
        <v>3528</v>
      </c>
      <c r="E1288">
        <v>25000</v>
      </c>
      <c r="F1288" t="s">
        <v>3441</v>
      </c>
    </row>
    <row r="1289" spans="1:6" customHeight="1" ht="13.8">
      <c r="A1289" t="s">
        <v>3529</v>
      </c>
      <c r="B1289" t="s">
        <v>3530</v>
      </c>
      <c r="C1289" s="1" t="s">
        <v>3531</v>
      </c>
      <c r="D1289" t="s">
        <v>3532</v>
      </c>
      <c r="E1289">
        <v>25000</v>
      </c>
      <c r="F1289" t="s">
        <v>3441</v>
      </c>
    </row>
    <row r="1290" spans="1:6" customHeight="1" ht="13.8">
      <c r="A1290" t="s">
        <v>3055</v>
      </c>
      <c r="B1290" t="s">
        <v>3056</v>
      </c>
      <c r="C1290" s="1" t="s">
        <v>3057</v>
      </c>
      <c r="D1290" t="s">
        <v>3058</v>
      </c>
      <c r="E1290">
        <v>25000</v>
      </c>
      <c r="F1290" t="s">
        <v>3441</v>
      </c>
    </row>
    <row r="1291" spans="1:6" customHeight="1" ht="13.8">
      <c r="A1291" t="s">
        <v>3533</v>
      </c>
      <c r="B1291" t="s">
        <v>3534</v>
      </c>
      <c r="C1291" s="1" t="s">
        <v>3535</v>
      </c>
      <c r="D1291" t="s">
        <v>3536</v>
      </c>
      <c r="E1291">
        <v>25000</v>
      </c>
      <c r="F1291" t="s">
        <v>3441</v>
      </c>
    </row>
    <row r="1292" spans="1:6" customHeight="1" ht="13.8">
      <c r="A1292" t="s">
        <v>3537</v>
      </c>
      <c r="B1292" t="s">
        <v>3538</v>
      </c>
      <c r="C1292" s="1" t="s">
        <v>3539</v>
      </c>
      <c r="D1292" t="s">
        <v>3540</v>
      </c>
      <c r="E1292">
        <v>25000</v>
      </c>
      <c r="F1292" t="s">
        <v>3441</v>
      </c>
    </row>
    <row r="1293" spans="1:6" customHeight="1" ht="13.8">
      <c r="A1293" t="s">
        <v>3541</v>
      </c>
      <c r="B1293" t="s">
        <v>3542</v>
      </c>
      <c r="C1293" s="1" t="s">
        <v>3543</v>
      </c>
      <c r="D1293" t="s">
        <v>3544</v>
      </c>
      <c r="E1293">
        <v>25000</v>
      </c>
      <c r="F1293" t="s">
        <v>3441</v>
      </c>
    </row>
    <row r="1294" spans="1:6" customHeight="1" ht="13.8">
      <c r="A1294" t="s">
        <v>3545</v>
      </c>
      <c r="B1294" t="s">
        <v>3546</v>
      </c>
      <c r="C1294">
        <v>111318766</v>
      </c>
      <c r="D1294" t="s">
        <v>3547</v>
      </c>
      <c r="E1294">
        <v>25000</v>
      </c>
      <c r="F1294" t="s">
        <v>3441</v>
      </c>
    </row>
    <row r="1295" spans="1:6" customHeight="1" ht="13.8">
      <c r="A1295" t="s">
        <v>3548</v>
      </c>
      <c r="B1295" t="s">
        <v>3549</v>
      </c>
      <c r="C1295" s="1" t="s">
        <v>3550</v>
      </c>
      <c r="D1295" t="s">
        <v>3551</v>
      </c>
      <c r="E1295">
        <v>25000</v>
      </c>
      <c r="F1295" t="s">
        <v>3441</v>
      </c>
    </row>
    <row r="1296" spans="1:6" customHeight="1" ht="13.8">
      <c r="A1296" t="s">
        <v>3552</v>
      </c>
      <c r="B1296" t="s">
        <v>893</v>
      </c>
      <c r="C1296" s="1" t="s">
        <v>3553</v>
      </c>
      <c r="D1296" t="s">
        <v>3554</v>
      </c>
      <c r="E1296">
        <v>25000</v>
      </c>
      <c r="F1296" t="s">
        <v>3441</v>
      </c>
    </row>
    <row r="1297" spans="1:6" customHeight="1" ht="13.8">
      <c r="A1297" t="s">
        <v>3555</v>
      </c>
      <c r="B1297" t="s">
        <v>3556</v>
      </c>
      <c r="C1297" s="1" t="s">
        <v>3557</v>
      </c>
      <c r="D1297" t="s">
        <v>3558</v>
      </c>
      <c r="E1297">
        <v>25000</v>
      </c>
      <c r="F1297" t="s">
        <v>3441</v>
      </c>
    </row>
    <row r="1298" spans="1:6" customHeight="1" ht="13.8">
      <c r="A1298" t="s">
        <v>3118</v>
      </c>
      <c r="B1298" t="s">
        <v>3119</v>
      </c>
      <c r="C1298" s="1" t="s">
        <v>3120</v>
      </c>
      <c r="D1298" t="s">
        <v>3121</v>
      </c>
      <c r="E1298">
        <v>25000</v>
      </c>
      <c r="F1298" t="s">
        <v>3441</v>
      </c>
    </row>
    <row r="1299" spans="1:6" customHeight="1" ht="13.8">
      <c r="A1299" t="s">
        <v>35</v>
      </c>
      <c r="B1299" t="s">
        <v>36</v>
      </c>
      <c r="C1299" s="1" t="s">
        <v>37</v>
      </c>
      <c r="D1299" t="s">
        <v>38</v>
      </c>
      <c r="E1299">
        <v>25000</v>
      </c>
      <c r="F1299" t="s">
        <v>3441</v>
      </c>
    </row>
    <row r="1300" spans="1:6" customHeight="1" ht="13.8">
      <c r="A1300" t="s">
        <v>3559</v>
      </c>
      <c r="B1300" t="s">
        <v>3560</v>
      </c>
      <c r="C1300" s="1" t="s">
        <v>3561</v>
      </c>
      <c r="D1300" t="s">
        <v>3124</v>
      </c>
      <c r="E1300">
        <v>25000</v>
      </c>
      <c r="F1300" t="s">
        <v>3441</v>
      </c>
    </row>
    <row r="1301" spans="1:6" customHeight="1" ht="13.8">
      <c r="A1301" t="s">
        <v>3562</v>
      </c>
      <c r="B1301" t="s">
        <v>3563</v>
      </c>
      <c r="C1301">
        <v>118002905</v>
      </c>
      <c r="D1301" t="s">
        <v>3564</v>
      </c>
      <c r="E1301">
        <v>25000</v>
      </c>
      <c r="F1301" t="s">
        <v>3441</v>
      </c>
    </row>
    <row r="1302" spans="1:6" customHeight="1" ht="13.8">
      <c r="A1302" t="s">
        <v>3565</v>
      </c>
      <c r="B1302" t="s">
        <v>3566</v>
      </c>
      <c r="C1302" s="1" t="s">
        <v>3567</v>
      </c>
      <c r="D1302" t="s">
        <v>3568</v>
      </c>
      <c r="E1302">
        <v>25000</v>
      </c>
      <c r="F1302" t="s">
        <v>3441</v>
      </c>
    </row>
    <row r="1303" spans="1:6" customHeight="1" ht="13.8">
      <c r="A1303" t="s">
        <v>3569</v>
      </c>
      <c r="B1303" t="s">
        <v>3570</v>
      </c>
      <c r="C1303" s="1" t="s">
        <v>3571</v>
      </c>
      <c r="D1303" t="s">
        <v>3572</v>
      </c>
      <c r="E1303">
        <v>25000</v>
      </c>
      <c r="F1303" t="s">
        <v>3441</v>
      </c>
    </row>
    <row r="1304" spans="1:6" customHeight="1" ht="13.8">
      <c r="A1304" t="s">
        <v>3573</v>
      </c>
      <c r="B1304" t="s">
        <v>3574</v>
      </c>
      <c r="C1304" s="1" t="s">
        <v>3575</v>
      </c>
      <c r="D1304" t="s">
        <v>3576</v>
      </c>
      <c r="E1304">
        <v>25000</v>
      </c>
      <c r="F1304" t="s">
        <v>3441</v>
      </c>
    </row>
    <row r="1305" spans="1:6" customHeight="1" ht="13.8">
      <c r="A1305" t="s">
        <v>250</v>
      </c>
      <c r="B1305" t="s">
        <v>251</v>
      </c>
      <c r="C1305" s="1" t="s">
        <v>252</v>
      </c>
      <c r="D1305" t="s">
        <v>253</v>
      </c>
      <c r="E1305">
        <v>25000</v>
      </c>
      <c r="F1305" t="s">
        <v>3441</v>
      </c>
    </row>
    <row r="1306" spans="1:6" customHeight="1" ht="13.8">
      <c r="A1306" t="s">
        <v>3577</v>
      </c>
      <c r="B1306" t="s">
        <v>3578</v>
      </c>
      <c r="C1306" s="1" t="s">
        <v>3579</v>
      </c>
      <c r="D1306" t="s">
        <v>3580</v>
      </c>
      <c r="E1306">
        <v>25000</v>
      </c>
      <c r="F1306" t="s">
        <v>3441</v>
      </c>
    </row>
    <row r="1307" spans="1:6" customHeight="1" ht="13.8">
      <c r="A1307" t="s">
        <v>3581</v>
      </c>
      <c r="B1307" t="s">
        <v>3582</v>
      </c>
      <c r="C1307" s="1" t="s">
        <v>3583</v>
      </c>
      <c r="D1307" t="s">
        <v>2499</v>
      </c>
      <c r="E1307">
        <v>25000</v>
      </c>
      <c r="F1307" t="s">
        <v>3441</v>
      </c>
    </row>
    <row r="1308" spans="1:6" customHeight="1" ht="13.8">
      <c r="A1308" t="s">
        <v>3584</v>
      </c>
      <c r="B1308" t="s">
        <v>3585</v>
      </c>
      <c r="C1308" s="1" t="s">
        <v>3586</v>
      </c>
      <c r="D1308" t="s">
        <v>3587</v>
      </c>
      <c r="E1308">
        <v>25000</v>
      </c>
      <c r="F1308" t="s">
        <v>3441</v>
      </c>
    </row>
    <row r="1309" spans="1:6" customHeight="1" ht="13.8">
      <c r="A1309" t="s">
        <v>3588</v>
      </c>
      <c r="B1309" t="s">
        <v>3589</v>
      </c>
      <c r="C1309" s="1" t="s">
        <v>3590</v>
      </c>
      <c r="D1309" t="s">
        <v>3591</v>
      </c>
      <c r="E1309">
        <v>25000</v>
      </c>
      <c r="F1309" t="s">
        <v>3441</v>
      </c>
    </row>
    <row r="1310" spans="1:6" customHeight="1" ht="13.8">
      <c r="A1310" t="s">
        <v>3592</v>
      </c>
      <c r="B1310" t="s">
        <v>2657</v>
      </c>
      <c r="C1310" s="1" t="s">
        <v>2658</v>
      </c>
      <c r="D1310" t="s">
        <v>3593</v>
      </c>
      <c r="E1310">
        <v>25000</v>
      </c>
      <c r="F1310" t="s">
        <v>3441</v>
      </c>
    </row>
    <row r="1311" spans="1:6" customHeight="1" ht="13.8">
      <c r="A1311" t="s">
        <v>3594</v>
      </c>
      <c r="B1311" t="s">
        <v>3595</v>
      </c>
      <c r="C1311" s="1" t="s">
        <v>3596</v>
      </c>
      <c r="D1311" t="s">
        <v>3593</v>
      </c>
      <c r="E1311">
        <v>25000</v>
      </c>
      <c r="F1311" t="s">
        <v>3441</v>
      </c>
    </row>
    <row r="1312" spans="1:6" customHeight="1" ht="13.8">
      <c r="A1312" t="s">
        <v>3597</v>
      </c>
      <c r="B1312" t="s">
        <v>3598</v>
      </c>
      <c r="C1312" s="1" t="s">
        <v>3599</v>
      </c>
      <c r="D1312" t="s">
        <v>3600</v>
      </c>
      <c r="E1312">
        <v>25000</v>
      </c>
      <c r="F1312" t="s">
        <v>3441</v>
      </c>
    </row>
    <row r="1313" spans="1:6" customHeight="1" ht="13.8">
      <c r="A1313" t="s">
        <v>3601</v>
      </c>
      <c r="B1313" t="s">
        <v>3602</v>
      </c>
      <c r="C1313" s="1" t="s">
        <v>3603</v>
      </c>
      <c r="D1313" t="s">
        <v>3604</v>
      </c>
      <c r="E1313">
        <v>25000</v>
      </c>
      <c r="F1313" t="s">
        <v>3441</v>
      </c>
    </row>
    <row r="1314" spans="1:6" customHeight="1" ht="13.8">
      <c r="A1314" t="s">
        <v>3605</v>
      </c>
      <c r="B1314" t="s">
        <v>3606</v>
      </c>
      <c r="C1314" s="1" t="s">
        <v>3607</v>
      </c>
      <c r="D1314" t="s">
        <v>3608</v>
      </c>
      <c r="E1314">
        <v>25000</v>
      </c>
      <c r="F1314" t="s">
        <v>3441</v>
      </c>
    </row>
    <row r="1315" spans="1:6" customHeight="1" ht="13.8">
      <c r="A1315" t="s">
        <v>3609</v>
      </c>
      <c r="B1315" t="s">
        <v>3610</v>
      </c>
      <c r="C1315" s="1" t="s">
        <v>3611</v>
      </c>
      <c r="D1315" t="s">
        <v>3612</v>
      </c>
      <c r="E1315">
        <v>25000</v>
      </c>
      <c r="F1315" t="s">
        <v>3441</v>
      </c>
    </row>
    <row r="1316" spans="1:6" customHeight="1" ht="13.8">
      <c r="A1316" t="s">
        <v>3613</v>
      </c>
      <c r="B1316" t="s">
        <v>3614</v>
      </c>
      <c r="C1316" s="1" t="s">
        <v>3615</v>
      </c>
      <c r="D1316" t="s">
        <v>3616</v>
      </c>
      <c r="E1316">
        <v>25000</v>
      </c>
      <c r="F1316" t="s">
        <v>3441</v>
      </c>
    </row>
    <row r="1317" spans="1:6" customHeight="1" ht="13.8">
      <c r="A1317" t="s">
        <v>3617</v>
      </c>
      <c r="B1317" t="s">
        <v>3618</v>
      </c>
      <c r="C1317" s="1" t="s">
        <v>3619</v>
      </c>
      <c r="D1317" t="s">
        <v>3620</v>
      </c>
      <c r="E1317">
        <v>25000</v>
      </c>
      <c r="F1317" t="s">
        <v>3441</v>
      </c>
    </row>
    <row r="1318" spans="1:6" customHeight="1" ht="13.8">
      <c r="A1318" t="s">
        <v>3310</v>
      </c>
      <c r="B1318" t="s">
        <v>3311</v>
      </c>
      <c r="C1318" s="1" t="s">
        <v>3312</v>
      </c>
      <c r="D1318" t="s">
        <v>3313</v>
      </c>
      <c r="E1318">
        <v>25000</v>
      </c>
      <c r="F1318" t="s">
        <v>3441</v>
      </c>
    </row>
    <row r="1319" spans="1:6" customHeight="1" ht="13.8">
      <c r="A1319" t="s">
        <v>3621</v>
      </c>
      <c r="B1319" t="s">
        <v>3622</v>
      </c>
      <c r="C1319" s="1" t="s">
        <v>3623</v>
      </c>
      <c r="D1319" t="s">
        <v>3624</v>
      </c>
      <c r="E1319">
        <v>25000</v>
      </c>
      <c r="F1319" t="s">
        <v>3441</v>
      </c>
    </row>
    <row r="1320" spans="1:6" customHeight="1" ht="13.8">
      <c r="A1320" t="s">
        <v>3625</v>
      </c>
      <c r="B1320" t="s">
        <v>3626</v>
      </c>
      <c r="C1320" s="1" t="s">
        <v>3627</v>
      </c>
      <c r="D1320" t="s">
        <v>3628</v>
      </c>
      <c r="E1320">
        <v>25000</v>
      </c>
      <c r="F1320" t="s">
        <v>3441</v>
      </c>
    </row>
    <row r="1321" spans="1:6" customHeight="1" ht="13.8">
      <c r="A1321" t="s">
        <v>3629</v>
      </c>
      <c r="B1321" t="s">
        <v>3630</v>
      </c>
      <c r="C1321" s="1" t="s">
        <v>3631</v>
      </c>
      <c r="D1321" t="s">
        <v>3632</v>
      </c>
      <c r="E1321">
        <v>25000</v>
      </c>
      <c r="F1321" t="s">
        <v>3441</v>
      </c>
    </row>
    <row r="1322" spans="1:6" customHeight="1" ht="13.8">
      <c r="A1322" t="s">
        <v>3633</v>
      </c>
      <c r="B1322" t="s">
        <v>3634</v>
      </c>
      <c r="C1322" s="1" t="s">
        <v>3635</v>
      </c>
      <c r="D1322" t="s">
        <v>3636</v>
      </c>
      <c r="E1322">
        <v>25000</v>
      </c>
      <c r="F1322" t="s">
        <v>3441</v>
      </c>
    </row>
    <row r="1323" spans="1:6" customHeight="1" ht="13.8">
      <c r="A1323" t="s">
        <v>3637</v>
      </c>
      <c r="B1323" t="s">
        <v>3638</v>
      </c>
      <c r="C1323" s="1" t="s">
        <v>3639</v>
      </c>
      <c r="D1323" t="s">
        <v>3640</v>
      </c>
      <c r="E1323">
        <v>25000</v>
      </c>
      <c r="F1323" t="s">
        <v>3441</v>
      </c>
    </row>
    <row r="1324" spans="1:6" customHeight="1" ht="13.8">
      <c r="A1324" t="s">
        <v>3641</v>
      </c>
      <c r="B1324" t="s">
        <v>3642</v>
      </c>
      <c r="C1324" s="1" t="s">
        <v>3643</v>
      </c>
      <c r="D1324" t="s">
        <v>3644</v>
      </c>
      <c r="E1324">
        <v>25000</v>
      </c>
      <c r="F1324" t="s">
        <v>3441</v>
      </c>
    </row>
    <row r="1325" spans="1:6" customHeight="1" ht="13.8">
      <c r="A1325" t="s">
        <v>3645</v>
      </c>
      <c r="B1325" t="s">
        <v>3646</v>
      </c>
      <c r="C1325" s="1" t="s">
        <v>3647</v>
      </c>
      <c r="D1325" t="s">
        <v>3301</v>
      </c>
      <c r="E1325">
        <v>25000</v>
      </c>
      <c r="F1325" t="s">
        <v>3441</v>
      </c>
    </row>
    <row r="1326" spans="1:6" customHeight="1" ht="13.8">
      <c r="A1326" t="s">
        <v>3648</v>
      </c>
      <c r="B1326" t="s">
        <v>3649</v>
      </c>
      <c r="C1326" s="1" t="s">
        <v>3650</v>
      </c>
      <c r="D1326" t="s">
        <v>3651</v>
      </c>
      <c r="E1326">
        <v>25000</v>
      </c>
      <c r="F1326" t="s">
        <v>3441</v>
      </c>
    </row>
    <row r="1327" spans="1:6" customHeight="1" ht="13.8">
      <c r="A1327" t="s">
        <v>3652</v>
      </c>
      <c r="B1327" t="s">
        <v>3653</v>
      </c>
      <c r="C1327" s="1" t="s">
        <v>3654</v>
      </c>
      <c r="D1327" t="s">
        <v>3655</v>
      </c>
      <c r="E1327">
        <v>25000</v>
      </c>
      <c r="F1327" t="s">
        <v>3441</v>
      </c>
    </row>
    <row r="1328" spans="1:6" customHeight="1" ht="13.8">
      <c r="A1328" t="s">
        <v>3656</v>
      </c>
      <c r="B1328" t="s">
        <v>3657</v>
      </c>
      <c r="C1328" s="1" t="s">
        <v>3658</v>
      </c>
      <c r="D1328" t="s">
        <v>3659</v>
      </c>
      <c r="E1328">
        <v>25000</v>
      </c>
      <c r="F1328" t="s">
        <v>3441</v>
      </c>
    </row>
    <row r="1329" spans="1:6" customHeight="1" ht="13.8">
      <c r="A1329" t="s">
        <v>3660</v>
      </c>
      <c r="B1329" t="s">
        <v>3661</v>
      </c>
      <c r="C1329" s="1" t="s">
        <v>3662</v>
      </c>
      <c r="D1329" t="s">
        <v>3663</v>
      </c>
      <c r="E1329">
        <v>25000</v>
      </c>
      <c r="F1329" t="s">
        <v>3441</v>
      </c>
    </row>
    <row r="1330" spans="1:6" customHeight="1" ht="13.8">
      <c r="A1330" t="s">
        <v>3664</v>
      </c>
      <c r="B1330" t="s">
        <v>3665</v>
      </c>
      <c r="C1330" s="1" t="s">
        <v>3666</v>
      </c>
      <c r="D1330" t="s">
        <v>3667</v>
      </c>
      <c r="E1330">
        <v>25000</v>
      </c>
      <c r="F1330" t="s">
        <v>3441</v>
      </c>
    </row>
    <row r="1331" spans="1:6" customHeight="1" ht="13.8">
      <c r="A1331" t="s">
        <v>3668</v>
      </c>
      <c r="B1331" t="s">
        <v>3669</v>
      </c>
      <c r="C1331" s="1" t="s">
        <v>3670</v>
      </c>
      <c r="D1331" t="s">
        <v>3671</v>
      </c>
      <c r="E1331">
        <v>25000</v>
      </c>
      <c r="F1331" t="s">
        <v>3441</v>
      </c>
    </row>
    <row r="1332" spans="1:6" customHeight="1" ht="13.8">
      <c r="A1332" t="s">
        <v>3672</v>
      </c>
      <c r="B1332" t="s">
        <v>3673</v>
      </c>
      <c r="C1332" s="1" t="s">
        <v>3674</v>
      </c>
      <c r="D1332" t="s">
        <v>3675</v>
      </c>
      <c r="E1332">
        <v>25000</v>
      </c>
      <c r="F1332" t="s">
        <v>3441</v>
      </c>
    </row>
    <row r="1333" spans="1:6" customHeight="1" ht="13.8">
      <c r="A1333" t="s">
        <v>3676</v>
      </c>
      <c r="B1333" t="s">
        <v>3677</v>
      </c>
      <c r="C1333" s="1" t="s">
        <v>3678</v>
      </c>
      <c r="D1333" t="s">
        <v>2316</v>
      </c>
      <c r="E1333">
        <v>25000</v>
      </c>
      <c r="F1333" t="s">
        <v>3441</v>
      </c>
    </row>
    <row r="1334" spans="1:6" customHeight="1" ht="13.8">
      <c r="A1334" t="s">
        <v>3679</v>
      </c>
      <c r="B1334" t="s">
        <v>3680</v>
      </c>
      <c r="C1334" s="1" t="s">
        <v>3681</v>
      </c>
      <c r="D1334" t="s">
        <v>3682</v>
      </c>
      <c r="E1334">
        <v>25000</v>
      </c>
      <c r="F1334" t="s">
        <v>3441</v>
      </c>
    </row>
    <row r="1335" spans="1:6" customHeight="1" ht="13.8">
      <c r="A1335" t="s">
        <v>3094</v>
      </c>
      <c r="B1335" t="s">
        <v>3095</v>
      </c>
      <c r="C1335" s="1" t="s">
        <v>3096</v>
      </c>
      <c r="D1335" t="s">
        <v>3097</v>
      </c>
      <c r="E1335">
        <v>25000</v>
      </c>
      <c r="F1335" t="s">
        <v>3441</v>
      </c>
    </row>
    <row r="1336" spans="1:6" customHeight="1" ht="13.8">
      <c r="A1336" t="s">
        <v>3683</v>
      </c>
      <c r="B1336" t="s">
        <v>3684</v>
      </c>
      <c r="C1336" s="1" t="s">
        <v>3685</v>
      </c>
      <c r="D1336" t="s">
        <v>3686</v>
      </c>
      <c r="E1336">
        <v>25000</v>
      </c>
      <c r="F1336" t="s">
        <v>3441</v>
      </c>
    </row>
    <row r="1337" spans="1:6" customHeight="1" ht="13.8">
      <c r="A1337" t="s">
        <v>3687</v>
      </c>
      <c r="B1337" t="s">
        <v>2682</v>
      </c>
      <c r="C1337" s="1" t="s">
        <v>3688</v>
      </c>
      <c r="D1337" t="s">
        <v>3689</v>
      </c>
      <c r="E1337">
        <v>25000</v>
      </c>
      <c r="F1337" t="s">
        <v>3441</v>
      </c>
    </row>
    <row r="1338" spans="1:6" customHeight="1" ht="13.8">
      <c r="A1338" t="s">
        <v>3592</v>
      </c>
      <c r="B1338" t="s">
        <v>2657</v>
      </c>
      <c r="C1338" s="1" t="s">
        <v>2658</v>
      </c>
      <c r="D1338" t="s">
        <v>3593</v>
      </c>
      <c r="E1338">
        <v>25000</v>
      </c>
      <c r="F1338" t="s">
        <v>3690</v>
      </c>
    </row>
    <row r="1339" spans="1:6" customHeight="1" ht="13.8">
      <c r="A1339" t="s">
        <v>2740</v>
      </c>
      <c r="B1339" t="s">
        <v>2741</v>
      </c>
      <c r="C1339" s="1" t="s">
        <v>2742</v>
      </c>
      <c r="D1339" t="s">
        <v>2743</v>
      </c>
      <c r="E1339">
        <v>25000</v>
      </c>
      <c r="F1339" t="s">
        <v>3690</v>
      </c>
    </row>
    <row r="1340" spans="1:6" customHeight="1" ht="13.8">
      <c r="A1340" t="s">
        <v>2774</v>
      </c>
      <c r="B1340" t="s">
        <v>2775</v>
      </c>
      <c r="C1340">
        <v>145710376</v>
      </c>
      <c r="D1340" t="s">
        <v>2776</v>
      </c>
      <c r="E1340">
        <v>34000</v>
      </c>
      <c r="F1340" t="s">
        <v>3691</v>
      </c>
    </row>
    <row r="1341" spans="1:6" customHeight="1" ht="13.8">
      <c r="A1341" t="s">
        <v>3692</v>
      </c>
      <c r="B1341" t="s">
        <v>3693</v>
      </c>
      <c r="C1341" s="1" t="s">
        <v>3694</v>
      </c>
      <c r="D1341" t="s">
        <v>3695</v>
      </c>
      <c r="E1341">
        <v>153600</v>
      </c>
      <c r="F1341" t="s">
        <v>3696</v>
      </c>
    </row>
    <row r="1342" spans="1:6" customHeight="1" ht="13.8">
      <c r="A1342" t="s">
        <v>3697</v>
      </c>
      <c r="B1342" t="s">
        <v>3698</v>
      </c>
      <c r="C1342">
        <v>119927098</v>
      </c>
      <c r="D1342" t="s">
        <v>3699</v>
      </c>
      <c r="E1342">
        <v>38000</v>
      </c>
      <c r="F1342" t="s">
        <v>3700</v>
      </c>
    </row>
    <row r="1343" spans="1:6" customHeight="1" ht="13.8">
      <c r="A1343" t="s">
        <v>3701</v>
      </c>
      <c r="B1343" t="s">
        <v>1434</v>
      </c>
      <c r="C1343" s="1" t="s">
        <v>3702</v>
      </c>
      <c r="D1343" t="s">
        <v>3703</v>
      </c>
      <c r="E1343">
        <v>38000</v>
      </c>
      <c r="F1343" t="s">
        <v>3700</v>
      </c>
    </row>
    <row r="1344" spans="1:6" customHeight="1" ht="13.8">
      <c r="A1344" t="s">
        <v>3704</v>
      </c>
      <c r="B1344" t="s">
        <v>3705</v>
      </c>
      <c r="C1344">
        <v>117483358</v>
      </c>
      <c r="D1344" t="s">
        <v>3706</v>
      </c>
      <c r="E1344">
        <v>38000</v>
      </c>
      <c r="F1344" t="s">
        <v>3700</v>
      </c>
    </row>
    <row r="1345" spans="1:6" customHeight="1" ht="13.8">
      <c r="A1345" t="s">
        <v>3707</v>
      </c>
      <c r="B1345" t="s">
        <v>3708</v>
      </c>
      <c r="C1345" s="1" t="s">
        <v>3709</v>
      </c>
      <c r="D1345" t="s">
        <v>3710</v>
      </c>
      <c r="E1345">
        <v>38000</v>
      </c>
      <c r="F1345" t="s">
        <v>3700</v>
      </c>
    </row>
    <row r="1346" spans="1:6" customHeight="1" ht="13.8">
      <c r="A1346" t="s">
        <v>2930</v>
      </c>
      <c r="B1346" t="s">
        <v>2931</v>
      </c>
      <c r="C1346" s="1" t="s">
        <v>2932</v>
      </c>
      <c r="D1346" t="s">
        <v>2933</v>
      </c>
      <c r="E1346">
        <v>38000</v>
      </c>
      <c r="F1346" t="s">
        <v>3700</v>
      </c>
    </row>
    <row r="1347" spans="1:6" customHeight="1" ht="13.8">
      <c r="A1347" t="s">
        <v>3711</v>
      </c>
      <c r="B1347" t="s">
        <v>3712</v>
      </c>
      <c r="C1347" s="1" t="s">
        <v>3713</v>
      </c>
      <c r="D1347" t="s">
        <v>3714</v>
      </c>
      <c r="E1347">
        <v>38000</v>
      </c>
      <c r="F1347" t="s">
        <v>3700</v>
      </c>
    </row>
    <row r="1348" spans="1:6" customHeight="1" ht="13.8">
      <c r="A1348" t="s">
        <v>2839</v>
      </c>
      <c r="B1348" t="s">
        <v>2840</v>
      </c>
      <c r="C1348" s="1" t="s">
        <v>2841</v>
      </c>
      <c r="D1348" t="s">
        <v>827</v>
      </c>
      <c r="E1348">
        <v>38000</v>
      </c>
      <c r="F1348" t="s">
        <v>3700</v>
      </c>
    </row>
    <row r="1349" spans="1:6" customHeight="1" ht="13.8">
      <c r="A1349" t="s">
        <v>3715</v>
      </c>
      <c r="B1349" t="s">
        <v>3716</v>
      </c>
      <c r="C1349" s="1" t="s">
        <v>3717</v>
      </c>
      <c r="D1349" t="s">
        <v>3718</v>
      </c>
      <c r="E1349">
        <v>38000</v>
      </c>
      <c r="F1349" t="s">
        <v>3700</v>
      </c>
    </row>
    <row r="1350" spans="1:6" customHeight="1" ht="13.8">
      <c r="A1350" t="s">
        <v>2839</v>
      </c>
      <c r="B1350" t="s">
        <v>2840</v>
      </c>
      <c r="C1350" s="1" t="s">
        <v>2841</v>
      </c>
      <c r="D1350" t="s">
        <v>827</v>
      </c>
      <c r="E1350">
        <v>17000</v>
      </c>
      <c r="F1350" t="s">
        <v>3719</v>
      </c>
    </row>
    <row r="1351" spans="1:6" customHeight="1" ht="13.8">
      <c r="A1351" t="s">
        <v>3715</v>
      </c>
      <c r="B1351" t="s">
        <v>3716</v>
      </c>
      <c r="C1351" s="1" t="s">
        <v>3717</v>
      </c>
      <c r="D1351" t="s">
        <v>3718</v>
      </c>
      <c r="E1351">
        <v>17000</v>
      </c>
      <c r="F1351" t="s">
        <v>3719</v>
      </c>
    </row>
    <row r="1352" spans="1:6" customHeight="1" ht="13.8">
      <c r="A1352" t="s">
        <v>2997</v>
      </c>
      <c r="B1352" t="s">
        <v>2998</v>
      </c>
      <c r="C1352" s="1" t="s">
        <v>2999</v>
      </c>
      <c r="D1352" t="s">
        <v>3000</v>
      </c>
      <c r="E1352">
        <v>17000</v>
      </c>
      <c r="F1352" t="s">
        <v>3719</v>
      </c>
    </row>
    <row r="1353" spans="1:6" customHeight="1" ht="13.8">
      <c r="A1353" t="s">
        <v>3720</v>
      </c>
      <c r="B1353" t="s">
        <v>3721</v>
      </c>
      <c r="C1353">
        <v>116587752</v>
      </c>
      <c r="D1353" t="s">
        <v>3722</v>
      </c>
      <c r="E1353">
        <v>17000</v>
      </c>
      <c r="F1353" t="s">
        <v>3719</v>
      </c>
    </row>
    <row r="1354" spans="1:6" customHeight="1" ht="13.8">
      <c r="A1354" t="s">
        <v>3723</v>
      </c>
      <c r="B1354" t="s">
        <v>3724</v>
      </c>
      <c r="C1354">
        <v>124935738</v>
      </c>
      <c r="D1354" t="s">
        <v>3725</v>
      </c>
      <c r="E1354">
        <v>17000</v>
      </c>
      <c r="F1354" t="s">
        <v>3719</v>
      </c>
    </row>
    <row r="1355" spans="1:6" customHeight="1" ht="13.8">
      <c r="A1355" t="s">
        <v>2930</v>
      </c>
      <c r="B1355" t="s">
        <v>2931</v>
      </c>
      <c r="C1355" s="1" t="s">
        <v>2932</v>
      </c>
      <c r="D1355" t="s">
        <v>2933</v>
      </c>
      <c r="E1355">
        <v>17000</v>
      </c>
      <c r="F1355" t="s">
        <v>3719</v>
      </c>
    </row>
    <row r="1356" spans="1:6" customHeight="1" ht="13.8">
      <c r="A1356" t="s">
        <v>3726</v>
      </c>
      <c r="B1356" t="s">
        <v>3727</v>
      </c>
      <c r="C1356" s="1" t="s">
        <v>3728</v>
      </c>
      <c r="D1356" t="s">
        <v>3729</v>
      </c>
      <c r="E1356">
        <v>17000</v>
      </c>
      <c r="F1356" t="s">
        <v>3719</v>
      </c>
    </row>
    <row r="1357" spans="1:6" customHeight="1" ht="13.8">
      <c r="A1357" t="s">
        <v>3701</v>
      </c>
      <c r="B1357" t="s">
        <v>1434</v>
      </c>
      <c r="C1357" s="1" t="s">
        <v>3702</v>
      </c>
      <c r="D1357" t="s">
        <v>3703</v>
      </c>
      <c r="E1357">
        <v>17000</v>
      </c>
      <c r="F1357" t="s">
        <v>3719</v>
      </c>
    </row>
    <row r="1358" spans="1:6" customHeight="1" ht="13.8">
      <c r="A1358" t="s">
        <v>264</v>
      </c>
      <c r="B1358" t="s">
        <v>265</v>
      </c>
      <c r="C1358" s="1" t="s">
        <v>266</v>
      </c>
      <c r="D1358" t="s">
        <v>267</v>
      </c>
      <c r="E1358">
        <v>17000</v>
      </c>
      <c r="F1358" t="s">
        <v>3719</v>
      </c>
    </row>
    <row r="1359" spans="1:6" customHeight="1" ht="13.8">
      <c r="A1359" t="s">
        <v>3730</v>
      </c>
      <c r="B1359" t="s">
        <v>2803</v>
      </c>
      <c r="C1359" s="1" t="s">
        <v>2804</v>
      </c>
      <c r="D1359" t="s">
        <v>3731</v>
      </c>
      <c r="E1359">
        <v>17000</v>
      </c>
      <c r="F1359" t="s">
        <v>3719</v>
      </c>
    </row>
    <row r="1360" spans="1:6" customHeight="1" ht="13.8">
      <c r="A1360" t="s">
        <v>1949</v>
      </c>
      <c r="B1360" t="s">
        <v>1950</v>
      </c>
      <c r="C1360">
        <v>112136248</v>
      </c>
      <c r="D1360" t="s">
        <v>1951</v>
      </c>
      <c r="E1360">
        <v>17000</v>
      </c>
      <c r="F1360" t="s">
        <v>3719</v>
      </c>
    </row>
    <row r="1361" spans="1:6" customHeight="1" ht="13.8">
      <c r="A1361" t="s">
        <v>3732</v>
      </c>
      <c r="B1361" t="s">
        <v>3733</v>
      </c>
      <c r="C1361">
        <v>118848596</v>
      </c>
      <c r="D1361" t="s">
        <v>3734</v>
      </c>
      <c r="E1361">
        <v>17000</v>
      </c>
      <c r="F1361" t="s">
        <v>3719</v>
      </c>
    </row>
    <row r="1362" spans="1:6" customHeight="1" ht="13.8">
      <c r="A1362" t="s">
        <v>2966</v>
      </c>
      <c r="B1362" t="s">
        <v>2967</v>
      </c>
      <c r="C1362" s="1" t="s">
        <v>2968</v>
      </c>
      <c r="D1362" t="s">
        <v>2969</v>
      </c>
      <c r="E1362">
        <v>17000</v>
      </c>
      <c r="F1362" t="s">
        <v>3719</v>
      </c>
    </row>
    <row r="1363" spans="1:6" customHeight="1" ht="13.8">
      <c r="A1363" t="s">
        <v>3735</v>
      </c>
      <c r="B1363" t="s">
        <v>3736</v>
      </c>
      <c r="C1363" s="1" t="s">
        <v>3737</v>
      </c>
      <c r="D1363" t="s">
        <v>3738</v>
      </c>
      <c r="E1363">
        <v>17000</v>
      </c>
      <c r="F1363" t="s">
        <v>3719</v>
      </c>
    </row>
    <row r="1364" spans="1:6" customHeight="1" ht="13.8">
      <c r="A1364" t="s">
        <v>3739</v>
      </c>
      <c r="B1364" t="s">
        <v>3740</v>
      </c>
      <c r="C1364">
        <v>114592572</v>
      </c>
      <c r="D1364" t="s">
        <v>3741</v>
      </c>
      <c r="E1364">
        <v>17000</v>
      </c>
      <c r="F1364" t="s">
        <v>3719</v>
      </c>
    </row>
    <row r="1365" spans="1:6" customHeight="1" ht="13.8">
      <c r="A1365" t="s">
        <v>3742</v>
      </c>
      <c r="B1365" t="s">
        <v>3743</v>
      </c>
      <c r="C1365">
        <v>118684077</v>
      </c>
      <c r="D1365" t="s">
        <v>3744</v>
      </c>
      <c r="E1365">
        <v>17000</v>
      </c>
      <c r="F1365" t="s">
        <v>3719</v>
      </c>
    </row>
    <row r="1366" spans="1:6" customHeight="1" ht="13.8">
      <c r="A1366" t="s">
        <v>2451</v>
      </c>
      <c r="B1366" t="s">
        <v>2452</v>
      </c>
      <c r="C1366" s="1" t="s">
        <v>2453</v>
      </c>
      <c r="D1366" t="s">
        <v>2454</v>
      </c>
      <c r="E1366">
        <v>17000</v>
      </c>
      <c r="F1366" t="s">
        <v>3745</v>
      </c>
    </row>
    <row r="1367" spans="1:6" customHeight="1" ht="13.8">
      <c r="A1367" t="s">
        <v>3746</v>
      </c>
      <c r="B1367" t="s">
        <v>3747</v>
      </c>
      <c r="C1367">
        <v>120401679</v>
      </c>
      <c r="D1367" t="s">
        <v>3748</v>
      </c>
      <c r="E1367">
        <v>17000</v>
      </c>
      <c r="F1367" t="s">
        <v>3745</v>
      </c>
    </row>
    <row r="1368" spans="1:6" customHeight="1" ht="13.8">
      <c r="A1368" t="s">
        <v>3749</v>
      </c>
      <c r="B1368" t="s">
        <v>2958</v>
      </c>
      <c r="C1368" s="1" t="s">
        <v>2959</v>
      </c>
      <c r="D1368" t="s">
        <v>3750</v>
      </c>
      <c r="E1368">
        <v>7000</v>
      </c>
      <c r="F1368" t="s">
        <v>3751</v>
      </c>
    </row>
    <row r="1369" spans="1:6" customHeight="1" ht="13.8">
      <c r="A1369" t="s">
        <v>3752</v>
      </c>
      <c r="B1369" t="s">
        <v>77</v>
      </c>
      <c r="C1369" s="1" t="s">
        <v>78</v>
      </c>
      <c r="D1369" t="s">
        <v>3753</v>
      </c>
      <c r="E1369">
        <v>30000</v>
      </c>
      <c r="F1369" t="s">
        <v>3754</v>
      </c>
    </row>
    <row r="1370" spans="1:6" customHeight="1" ht="13.8">
      <c r="A1370" t="s">
        <v>3755</v>
      </c>
      <c r="B1370" t="s">
        <v>3756</v>
      </c>
      <c r="C1370" s="1" t="s">
        <v>3757</v>
      </c>
      <c r="D1370" t="s">
        <v>3758</v>
      </c>
      <c r="E1370">
        <v>5500</v>
      </c>
      <c r="F1370" t="s">
        <v>3759</v>
      </c>
    </row>
    <row r="1371" spans="1:6" customHeight="1" ht="13.8">
      <c r="A1371" t="s">
        <v>84</v>
      </c>
      <c r="B1371" t="s">
        <v>85</v>
      </c>
      <c r="C1371" s="1" t="s">
        <v>86</v>
      </c>
      <c r="D1371" t="s">
        <v>87</v>
      </c>
      <c r="E1371">
        <v>5500</v>
      </c>
      <c r="F1371" t="s">
        <v>3759</v>
      </c>
    </row>
    <row r="1372" spans="1:6" customHeight="1" ht="13.8">
      <c r="A1372" t="s">
        <v>341</v>
      </c>
      <c r="B1372" t="s">
        <v>342</v>
      </c>
      <c r="C1372" s="1" t="s">
        <v>343</v>
      </c>
      <c r="D1372" t="s">
        <v>344</v>
      </c>
      <c r="E1372">
        <v>5500</v>
      </c>
      <c r="F1372" t="s">
        <v>3759</v>
      </c>
    </row>
    <row r="1373" spans="1:6" customHeight="1" ht="13.8">
      <c r="A1373" t="s">
        <v>28</v>
      </c>
      <c r="B1373" t="s">
        <v>29</v>
      </c>
      <c r="C1373" s="1" t="s">
        <v>30</v>
      </c>
      <c r="D1373" t="s">
        <v>31</v>
      </c>
      <c r="E1373">
        <v>5500</v>
      </c>
      <c r="F1373" t="s">
        <v>3759</v>
      </c>
    </row>
    <row r="1374" spans="1:6" customHeight="1" ht="13.8">
      <c r="A1374" t="s">
        <v>3760</v>
      </c>
      <c r="B1374" t="s">
        <v>3761</v>
      </c>
      <c r="C1374" s="1" t="s">
        <v>3762</v>
      </c>
      <c r="D1374" t="s">
        <v>2344</v>
      </c>
      <c r="E1374">
        <v>5500</v>
      </c>
      <c r="F1374" t="s">
        <v>3759</v>
      </c>
    </row>
    <row r="1375" spans="1:6" customHeight="1" ht="13.8">
      <c r="A1375" t="s">
        <v>3763</v>
      </c>
      <c r="B1375" t="s">
        <v>3764</v>
      </c>
      <c r="C1375" s="1" t="s">
        <v>3765</v>
      </c>
      <c r="D1375" t="s">
        <v>3766</v>
      </c>
      <c r="E1375">
        <v>30000</v>
      </c>
      <c r="F1375" t="s">
        <v>3767</v>
      </c>
    </row>
    <row r="1376" spans="1:6" customHeight="1" ht="13.8">
      <c r="A1376" t="s">
        <v>3768</v>
      </c>
      <c r="B1376" t="s">
        <v>3769</v>
      </c>
      <c r="C1376">
        <v>122171572</v>
      </c>
      <c r="D1376" t="s">
        <v>3770</v>
      </c>
      <c r="E1376">
        <v>30000</v>
      </c>
      <c r="F1376" t="s">
        <v>3767</v>
      </c>
    </row>
    <row r="1377" spans="1:6" customHeight="1" ht="13.8">
      <c r="A1377" t="s">
        <v>3771</v>
      </c>
      <c r="B1377" t="s">
        <v>3772</v>
      </c>
      <c r="C1377" s="1" t="s">
        <v>3773</v>
      </c>
      <c r="D1377" t="s">
        <v>3774</v>
      </c>
      <c r="E1377">
        <v>30000</v>
      </c>
      <c r="F1377" t="s">
        <v>3767</v>
      </c>
    </row>
    <row r="1378" spans="1:6" customHeight="1" ht="13.8">
      <c r="A1378" t="s">
        <v>3775</v>
      </c>
      <c r="B1378" t="s">
        <v>3776</v>
      </c>
      <c r="C1378" s="1" t="s">
        <v>3777</v>
      </c>
      <c r="D1378" t="s">
        <v>3778</v>
      </c>
      <c r="E1378">
        <v>30000</v>
      </c>
      <c r="F1378" t="s">
        <v>3767</v>
      </c>
    </row>
    <row r="1379" spans="1:6" customHeight="1" ht="13.8">
      <c r="A1379" t="s">
        <v>1568</v>
      </c>
      <c r="B1379" t="s">
        <v>1569</v>
      </c>
      <c r="C1379" s="1" t="s">
        <v>1570</v>
      </c>
      <c r="D1379" t="s">
        <v>1571</v>
      </c>
      <c r="E1379">
        <v>30000</v>
      </c>
      <c r="F1379" t="s">
        <v>3767</v>
      </c>
    </row>
    <row r="1380" spans="1:6" customHeight="1" ht="13.8">
      <c r="A1380" t="s">
        <v>3779</v>
      </c>
      <c r="B1380" t="s">
        <v>3780</v>
      </c>
      <c r="C1380">
        <v>111680731</v>
      </c>
      <c r="D1380" t="s">
        <v>3781</v>
      </c>
      <c r="E1380">
        <v>30000</v>
      </c>
      <c r="F1380" t="s">
        <v>3767</v>
      </c>
    </row>
    <row r="1381" spans="1:6" customHeight="1" ht="13.8">
      <c r="A1381" t="s">
        <v>3782</v>
      </c>
      <c r="B1381" t="s">
        <v>3783</v>
      </c>
      <c r="C1381">
        <v>127123215</v>
      </c>
      <c r="D1381" t="s">
        <v>3784</v>
      </c>
      <c r="E1381">
        <v>30000</v>
      </c>
      <c r="F1381" t="s">
        <v>3767</v>
      </c>
    </row>
    <row r="1382" spans="1:6" customHeight="1" ht="13.8">
      <c r="A1382" t="s">
        <v>3785</v>
      </c>
      <c r="B1382" t="s">
        <v>3786</v>
      </c>
      <c r="C1382" s="1" t="s">
        <v>3787</v>
      </c>
      <c r="D1382" t="s">
        <v>2893</v>
      </c>
      <c r="E1382">
        <v>30000</v>
      </c>
      <c r="F1382" t="s">
        <v>3767</v>
      </c>
    </row>
    <row r="1383" spans="1:6" customHeight="1" ht="13.8">
      <c r="A1383" t="s">
        <v>3788</v>
      </c>
      <c r="B1383" t="s">
        <v>3789</v>
      </c>
      <c r="C1383" s="1" t="s">
        <v>3790</v>
      </c>
      <c r="D1383" t="s">
        <v>3791</v>
      </c>
      <c r="E1383">
        <v>30000</v>
      </c>
      <c r="F1383" t="s">
        <v>3767</v>
      </c>
    </row>
    <row r="1384" spans="1:6" customHeight="1" ht="13.8">
      <c r="A1384" t="s">
        <v>3792</v>
      </c>
      <c r="B1384" t="s">
        <v>3793</v>
      </c>
      <c r="C1384">
        <v>128748211</v>
      </c>
      <c r="D1384" t="s">
        <v>3794</v>
      </c>
      <c r="E1384">
        <v>30000</v>
      </c>
      <c r="F1384" t="s">
        <v>3767</v>
      </c>
    </row>
    <row r="1385" spans="1:6" customHeight="1" ht="13.8">
      <c r="A1385" t="s">
        <v>1583</v>
      </c>
      <c r="B1385" t="s">
        <v>1584</v>
      </c>
      <c r="C1385" s="1" t="s">
        <v>1585</v>
      </c>
      <c r="D1385" t="s">
        <v>1586</v>
      </c>
      <c r="E1385">
        <v>30000</v>
      </c>
      <c r="F1385" t="s">
        <v>3767</v>
      </c>
    </row>
    <row r="1386" spans="1:6" customHeight="1" ht="13.8">
      <c r="A1386" t="s">
        <v>702</v>
      </c>
      <c r="B1386" t="s">
        <v>703</v>
      </c>
      <c r="C1386" s="1" t="s">
        <v>704</v>
      </c>
      <c r="D1386" t="s">
        <v>705</v>
      </c>
      <c r="E1386">
        <v>30000</v>
      </c>
      <c r="F1386" t="s">
        <v>3767</v>
      </c>
    </row>
    <row r="1387" spans="1:6" customHeight="1" ht="13.8">
      <c r="A1387" t="s">
        <v>3795</v>
      </c>
      <c r="B1387" t="s">
        <v>3796</v>
      </c>
      <c r="C1387" s="1" t="s">
        <v>3797</v>
      </c>
      <c r="D1387" t="s">
        <v>3798</v>
      </c>
      <c r="E1387">
        <v>30000</v>
      </c>
      <c r="F1387" t="s">
        <v>3767</v>
      </c>
    </row>
    <row r="1388" spans="1:6" customHeight="1" ht="13.8">
      <c r="A1388" t="s">
        <v>3799</v>
      </c>
      <c r="B1388" t="s">
        <v>3800</v>
      </c>
      <c r="C1388" s="1" t="s">
        <v>3801</v>
      </c>
      <c r="D1388" t="s">
        <v>2933</v>
      </c>
      <c r="E1388">
        <v>30000</v>
      </c>
      <c r="F1388" t="s">
        <v>3767</v>
      </c>
    </row>
    <row r="1389" spans="1:6" customHeight="1" ht="13.8">
      <c r="A1389" t="s">
        <v>3802</v>
      </c>
      <c r="B1389" t="s">
        <v>3803</v>
      </c>
      <c r="C1389" s="1" t="s">
        <v>3804</v>
      </c>
      <c r="D1389" t="s">
        <v>3805</v>
      </c>
      <c r="E1389">
        <v>30000</v>
      </c>
      <c r="F1389" t="s">
        <v>3767</v>
      </c>
    </row>
    <row r="1390" spans="1:6" customHeight="1" ht="13.8">
      <c r="A1390" t="s">
        <v>3806</v>
      </c>
      <c r="B1390" t="s">
        <v>3807</v>
      </c>
      <c r="C1390" s="1" t="s">
        <v>3808</v>
      </c>
      <c r="D1390" t="s">
        <v>3809</v>
      </c>
      <c r="E1390">
        <v>30000</v>
      </c>
      <c r="F1390" t="s">
        <v>3767</v>
      </c>
    </row>
    <row r="1391" spans="1:6" customHeight="1" ht="13.8">
      <c r="A1391" t="s">
        <v>1987</v>
      </c>
      <c r="B1391" t="s">
        <v>1988</v>
      </c>
      <c r="C1391">
        <v>110180173</v>
      </c>
      <c r="D1391" t="s">
        <v>1989</v>
      </c>
      <c r="E1391">
        <v>30000</v>
      </c>
      <c r="F1391" t="s">
        <v>3767</v>
      </c>
    </row>
    <row r="1392" spans="1:6" customHeight="1" ht="13.8">
      <c r="A1392" t="s">
        <v>1469</v>
      </c>
      <c r="B1392" t="s">
        <v>1470</v>
      </c>
      <c r="C1392" s="1" t="s">
        <v>1471</v>
      </c>
      <c r="D1392" t="s">
        <v>1472</v>
      </c>
      <c r="E1392">
        <v>30000</v>
      </c>
      <c r="F1392" t="s">
        <v>3767</v>
      </c>
    </row>
    <row r="1393" spans="1:6" customHeight="1" ht="13.8">
      <c r="A1393" t="s">
        <v>3810</v>
      </c>
      <c r="B1393" t="s">
        <v>3811</v>
      </c>
      <c r="C1393" s="1" t="s">
        <v>3812</v>
      </c>
      <c r="D1393" t="s">
        <v>3813</v>
      </c>
      <c r="E1393">
        <v>30000</v>
      </c>
      <c r="F1393" t="s">
        <v>3767</v>
      </c>
    </row>
    <row r="1394" spans="1:6" customHeight="1" ht="13.8">
      <c r="A1394" t="s">
        <v>2035</v>
      </c>
      <c r="B1394" t="s">
        <v>2036</v>
      </c>
      <c r="C1394">
        <v>103831327</v>
      </c>
      <c r="D1394" t="s">
        <v>2037</v>
      </c>
      <c r="E1394">
        <v>30000</v>
      </c>
      <c r="F1394" t="s">
        <v>3767</v>
      </c>
    </row>
    <row r="1395" spans="1:6" customHeight="1" ht="13.8">
      <c r="A1395" t="s">
        <v>1991</v>
      </c>
      <c r="B1395" t="s">
        <v>1992</v>
      </c>
      <c r="C1395">
        <v>114121662</v>
      </c>
      <c r="D1395" t="s">
        <v>1993</v>
      </c>
      <c r="E1395">
        <v>30000</v>
      </c>
      <c r="F1395" t="s">
        <v>3767</v>
      </c>
    </row>
    <row r="1396" spans="1:6" customHeight="1" ht="13.8">
      <c r="A1396" t="s">
        <v>3814</v>
      </c>
      <c r="B1396" t="s">
        <v>3815</v>
      </c>
      <c r="C1396">
        <v>109785833</v>
      </c>
      <c r="D1396" t="s">
        <v>3816</v>
      </c>
      <c r="E1396">
        <v>30000</v>
      </c>
      <c r="F1396" t="s">
        <v>3767</v>
      </c>
    </row>
    <row r="1397" spans="1:6" customHeight="1" ht="13.8">
      <c r="A1397" t="s">
        <v>3817</v>
      </c>
      <c r="B1397" t="s">
        <v>3818</v>
      </c>
      <c r="C1397">
        <v>129063694</v>
      </c>
      <c r="D1397" t="s">
        <v>3819</v>
      </c>
      <c r="E1397">
        <v>30000</v>
      </c>
      <c r="F1397" t="s">
        <v>3767</v>
      </c>
    </row>
    <row r="1398" spans="1:6" customHeight="1" ht="13.8">
      <c r="A1398" t="s">
        <v>3820</v>
      </c>
      <c r="B1398" t="s">
        <v>3821</v>
      </c>
      <c r="C1398">
        <v>105748713</v>
      </c>
      <c r="D1398" t="s">
        <v>3822</v>
      </c>
      <c r="E1398">
        <v>30000</v>
      </c>
      <c r="F1398" t="s">
        <v>3767</v>
      </c>
    </row>
    <row r="1399" spans="1:6" customHeight="1" ht="13.8">
      <c r="A1399" t="s">
        <v>3823</v>
      </c>
      <c r="B1399" t="s">
        <v>3824</v>
      </c>
      <c r="C1399" s="1" t="s">
        <v>3825</v>
      </c>
      <c r="D1399" t="s">
        <v>3826</v>
      </c>
      <c r="E1399">
        <v>30000</v>
      </c>
      <c r="F1399" t="s">
        <v>3767</v>
      </c>
    </row>
    <row r="1400" spans="1:6" customHeight="1" ht="13.8">
      <c r="A1400" t="s">
        <v>1599</v>
      </c>
      <c r="B1400" t="s">
        <v>1600</v>
      </c>
      <c r="C1400" s="1" t="s">
        <v>1601</v>
      </c>
      <c r="D1400" t="s">
        <v>1602</v>
      </c>
      <c r="E1400">
        <v>30000</v>
      </c>
      <c r="F1400" t="s">
        <v>3767</v>
      </c>
    </row>
    <row r="1401" spans="1:6" customHeight="1" ht="13.8">
      <c r="A1401" t="s">
        <v>1576</v>
      </c>
      <c r="B1401" t="s">
        <v>1577</v>
      </c>
      <c r="C1401" s="1" t="s">
        <v>1578</v>
      </c>
      <c r="D1401" t="s">
        <v>1579</v>
      </c>
      <c r="E1401">
        <v>30000</v>
      </c>
      <c r="F1401" t="s">
        <v>3767</v>
      </c>
    </row>
    <row r="1402" spans="1:6" customHeight="1" ht="13.8">
      <c r="A1402" t="s">
        <v>3827</v>
      </c>
      <c r="B1402" t="s">
        <v>1581</v>
      </c>
      <c r="C1402">
        <v>123505556</v>
      </c>
      <c r="D1402" t="s">
        <v>3828</v>
      </c>
      <c r="E1402">
        <v>30000</v>
      </c>
      <c r="F1402" t="s">
        <v>3767</v>
      </c>
    </row>
    <row r="1403" spans="1:6" customHeight="1" ht="13.8">
      <c r="A1403" t="s">
        <v>3829</v>
      </c>
      <c r="B1403" t="s">
        <v>3830</v>
      </c>
      <c r="C1403" s="1" t="s">
        <v>3831</v>
      </c>
      <c r="D1403" t="s">
        <v>3828</v>
      </c>
      <c r="E1403">
        <v>30000</v>
      </c>
      <c r="F1403" t="s">
        <v>3767</v>
      </c>
    </row>
    <row r="1404" spans="1:6" customHeight="1" ht="13.8">
      <c r="A1404" t="s">
        <v>3832</v>
      </c>
      <c r="B1404" t="s">
        <v>3833</v>
      </c>
      <c r="C1404" s="1" t="s">
        <v>3834</v>
      </c>
      <c r="D1404" t="s">
        <v>3835</v>
      </c>
      <c r="E1404">
        <v>30000</v>
      </c>
      <c r="F1404" t="s">
        <v>3767</v>
      </c>
    </row>
    <row r="1405" spans="1:6" customHeight="1" ht="13.8">
      <c r="A1405" t="s">
        <v>1604</v>
      </c>
      <c r="B1405" t="s">
        <v>1605</v>
      </c>
      <c r="C1405" s="1" t="s">
        <v>1606</v>
      </c>
      <c r="D1405" t="s">
        <v>1607</v>
      </c>
      <c r="E1405">
        <v>30000</v>
      </c>
      <c r="F1405" t="s">
        <v>3767</v>
      </c>
    </row>
    <row r="1406" spans="1:6" customHeight="1" ht="13.8">
      <c r="A1406" t="s">
        <v>3836</v>
      </c>
      <c r="B1406" t="s">
        <v>3837</v>
      </c>
      <c r="C1406">
        <v>134007263</v>
      </c>
      <c r="D1406" t="s">
        <v>3838</v>
      </c>
      <c r="E1406">
        <v>30000</v>
      </c>
      <c r="F1406" t="s">
        <v>3767</v>
      </c>
    </row>
    <row r="1407" spans="1:6" customHeight="1" ht="13.8">
      <c r="A1407" t="s">
        <v>3839</v>
      </c>
      <c r="B1407" t="s">
        <v>3840</v>
      </c>
      <c r="C1407" s="1" t="s">
        <v>3841</v>
      </c>
      <c r="D1407" t="s">
        <v>3838</v>
      </c>
      <c r="E1407">
        <v>30000</v>
      </c>
      <c r="F1407" t="s">
        <v>3767</v>
      </c>
    </row>
    <row r="1408" spans="1:6" customHeight="1" ht="13.8">
      <c r="A1408" t="s">
        <v>3842</v>
      </c>
      <c r="B1408" t="s">
        <v>3843</v>
      </c>
      <c r="C1408" s="1" t="s">
        <v>3844</v>
      </c>
      <c r="D1408" t="s">
        <v>1467</v>
      </c>
      <c r="E1408">
        <v>30000</v>
      </c>
      <c r="F1408" t="s">
        <v>3767</v>
      </c>
    </row>
    <row r="1409" spans="1:6" customHeight="1" ht="13.8">
      <c r="A1409" t="s">
        <v>3845</v>
      </c>
      <c r="B1409" t="s">
        <v>3846</v>
      </c>
      <c r="C1409" s="1" t="s">
        <v>3847</v>
      </c>
      <c r="D1409" t="s">
        <v>3848</v>
      </c>
      <c r="E1409">
        <v>30000</v>
      </c>
      <c r="F1409" t="s">
        <v>3767</v>
      </c>
    </row>
    <row r="1410" spans="1:6" customHeight="1" ht="13.8">
      <c r="A1410" t="s">
        <v>3849</v>
      </c>
      <c r="B1410" t="s">
        <v>3850</v>
      </c>
      <c r="C1410">
        <v>142787195</v>
      </c>
      <c r="D1410" t="s">
        <v>3851</v>
      </c>
      <c r="E1410">
        <v>30000</v>
      </c>
      <c r="F1410" t="s">
        <v>3767</v>
      </c>
    </row>
    <row r="1411" spans="1:6" customHeight="1" ht="13.8">
      <c r="A1411" t="s">
        <v>3852</v>
      </c>
      <c r="B1411" t="s">
        <v>3853</v>
      </c>
      <c r="C1411" s="1" t="s">
        <v>3854</v>
      </c>
      <c r="D1411" t="s">
        <v>3855</v>
      </c>
      <c r="E1411">
        <v>30000</v>
      </c>
      <c r="F1411" t="s">
        <v>3767</v>
      </c>
    </row>
    <row r="1412" spans="1:6" customHeight="1" ht="13.8">
      <c r="A1412" t="s">
        <v>3856</v>
      </c>
      <c r="B1412" t="s">
        <v>3857</v>
      </c>
      <c r="C1412" s="1" t="s">
        <v>3858</v>
      </c>
      <c r="D1412" t="s">
        <v>3859</v>
      </c>
      <c r="E1412">
        <v>30000</v>
      </c>
      <c r="F1412" t="s">
        <v>3767</v>
      </c>
    </row>
    <row r="1413" spans="1:6" customHeight="1" ht="13.8">
      <c r="A1413" t="s">
        <v>3860</v>
      </c>
      <c r="B1413" t="s">
        <v>3861</v>
      </c>
      <c r="D1413" t="s">
        <v>573</v>
      </c>
      <c r="E1413">
        <v>30000</v>
      </c>
      <c r="F1413" t="s">
        <v>3767</v>
      </c>
    </row>
    <row r="1414" spans="1:6" customHeight="1" ht="13.8">
      <c r="A1414" t="s">
        <v>1994</v>
      </c>
      <c r="B1414" t="s">
        <v>1995</v>
      </c>
      <c r="C1414" s="1" t="s">
        <v>1996</v>
      </c>
      <c r="D1414" t="s">
        <v>1997</v>
      </c>
      <c r="E1414">
        <v>30000</v>
      </c>
      <c r="F1414" t="s">
        <v>3767</v>
      </c>
    </row>
    <row r="1415" spans="1:6" customHeight="1" ht="13.8">
      <c r="A1415" t="s">
        <v>3862</v>
      </c>
      <c r="B1415" t="s">
        <v>3863</v>
      </c>
      <c r="C1415" s="1" t="s">
        <v>3864</v>
      </c>
      <c r="D1415" t="s">
        <v>563</v>
      </c>
      <c r="E1415">
        <v>30000</v>
      </c>
      <c r="F1415" t="s">
        <v>3767</v>
      </c>
    </row>
    <row r="1416" spans="1:6" customHeight="1" ht="13.8">
      <c r="A1416" t="s">
        <v>3865</v>
      </c>
      <c r="B1416" t="s">
        <v>3866</v>
      </c>
      <c r="C1416" s="1" t="s">
        <v>3867</v>
      </c>
      <c r="D1416" t="s">
        <v>3868</v>
      </c>
      <c r="E1416">
        <v>30000</v>
      </c>
      <c r="F1416" t="s">
        <v>3767</v>
      </c>
    </row>
    <row r="1417" spans="1:6" customHeight="1" ht="13.8">
      <c r="A1417" t="s">
        <v>3869</v>
      </c>
      <c r="B1417" t="s">
        <v>3870</v>
      </c>
      <c r="C1417" s="1" t="s">
        <v>3871</v>
      </c>
      <c r="D1417" t="s">
        <v>3872</v>
      </c>
      <c r="E1417">
        <v>30000</v>
      </c>
      <c r="F1417" t="s">
        <v>3767</v>
      </c>
    </row>
    <row r="1418" spans="1:6" customHeight="1" ht="13.8">
      <c r="A1418" t="s">
        <v>3873</v>
      </c>
      <c r="B1418" t="s">
        <v>3874</v>
      </c>
      <c r="C1418">
        <v>125787396</v>
      </c>
      <c r="D1418" t="s">
        <v>3875</v>
      </c>
      <c r="E1418">
        <v>30000</v>
      </c>
      <c r="F1418" t="s">
        <v>3767</v>
      </c>
    </row>
    <row r="1419" spans="1:6" customHeight="1" ht="13.8">
      <c r="A1419" t="s">
        <v>3876</v>
      </c>
      <c r="B1419" t="s">
        <v>3877</v>
      </c>
      <c r="C1419">
        <v>120909601</v>
      </c>
      <c r="D1419" t="s">
        <v>3878</v>
      </c>
      <c r="E1419">
        <v>30000</v>
      </c>
      <c r="F1419" t="s">
        <v>3767</v>
      </c>
    </row>
    <row r="1420" spans="1:6" customHeight="1" ht="13.8">
      <c r="A1420" t="s">
        <v>176</v>
      </c>
      <c r="B1420" t="s">
        <v>177</v>
      </c>
      <c r="C1420" s="1" t="s">
        <v>178</v>
      </c>
      <c r="D1420" t="s">
        <v>179</v>
      </c>
      <c r="E1420">
        <v>30000</v>
      </c>
      <c r="F1420" t="s">
        <v>3767</v>
      </c>
    </row>
    <row r="1421" spans="1:6" customHeight="1" ht="13.8">
      <c r="A1421" t="s">
        <v>3879</v>
      </c>
      <c r="B1421" t="s">
        <v>3880</v>
      </c>
      <c r="C1421">
        <v>123422293</v>
      </c>
      <c r="D1421" t="s">
        <v>3881</v>
      </c>
      <c r="E1421">
        <v>30000</v>
      </c>
      <c r="F1421" t="s">
        <v>3767</v>
      </c>
    </row>
    <row r="1422" spans="1:6" customHeight="1" ht="13.8">
      <c r="A1422" t="s">
        <v>3882</v>
      </c>
      <c r="B1422" t="s">
        <v>3883</v>
      </c>
      <c r="C1422" s="1" t="s">
        <v>3884</v>
      </c>
      <c r="D1422" t="s">
        <v>3885</v>
      </c>
      <c r="E1422">
        <v>30000</v>
      </c>
      <c r="F1422" t="s">
        <v>3767</v>
      </c>
    </row>
    <row r="1423" spans="1:6" customHeight="1" ht="13.8">
      <c r="A1423" t="s">
        <v>3886</v>
      </c>
      <c r="B1423" t="s">
        <v>3887</v>
      </c>
      <c r="C1423">
        <v>103123707</v>
      </c>
      <c r="D1423" t="s">
        <v>3888</v>
      </c>
      <c r="E1423">
        <v>30000</v>
      </c>
      <c r="F1423" t="s">
        <v>3767</v>
      </c>
    </row>
    <row r="1424" spans="1:6" customHeight="1" ht="13.8">
      <c r="A1424" t="s">
        <v>3889</v>
      </c>
      <c r="B1424" t="s">
        <v>1955</v>
      </c>
      <c r="C1424" s="1" t="s">
        <v>1956</v>
      </c>
      <c r="D1424" t="s">
        <v>3890</v>
      </c>
      <c r="E1424">
        <v>30000</v>
      </c>
      <c r="F1424" t="s">
        <v>3767</v>
      </c>
    </row>
    <row r="1425" spans="1:6" customHeight="1" ht="13.8">
      <c r="A1425" t="s">
        <v>3891</v>
      </c>
      <c r="B1425" t="s">
        <v>3892</v>
      </c>
      <c r="C1425" s="1" t="s">
        <v>3893</v>
      </c>
      <c r="D1425" t="s">
        <v>3894</v>
      </c>
      <c r="E1425">
        <v>30000</v>
      </c>
      <c r="F1425" t="s">
        <v>3767</v>
      </c>
    </row>
    <row r="1426" spans="1:6" customHeight="1" ht="13.8">
      <c r="A1426" t="s">
        <v>3895</v>
      </c>
      <c r="B1426" t="s">
        <v>3896</v>
      </c>
      <c r="C1426" s="1" t="s">
        <v>3897</v>
      </c>
      <c r="D1426" t="s">
        <v>3898</v>
      </c>
      <c r="E1426">
        <v>30000</v>
      </c>
      <c r="F1426" t="s">
        <v>3767</v>
      </c>
    </row>
    <row r="1427" spans="1:6" customHeight="1" ht="13.8">
      <c r="A1427" t="s">
        <v>3899</v>
      </c>
      <c r="B1427" t="s">
        <v>3900</v>
      </c>
      <c r="C1427">
        <v>110007535</v>
      </c>
      <c r="D1427" t="s">
        <v>3901</v>
      </c>
      <c r="E1427">
        <v>30000</v>
      </c>
      <c r="F1427" t="s">
        <v>3767</v>
      </c>
    </row>
    <row r="1428" spans="1:6" customHeight="1" ht="13.8">
      <c r="A1428" t="s">
        <v>3902</v>
      </c>
      <c r="B1428" t="s">
        <v>3903</v>
      </c>
      <c r="C1428">
        <v>124215317</v>
      </c>
      <c r="D1428" t="s">
        <v>3904</v>
      </c>
      <c r="E1428">
        <v>30000</v>
      </c>
      <c r="F1428" t="s">
        <v>3767</v>
      </c>
    </row>
    <row r="1429" spans="1:6" customHeight="1" ht="13.8">
      <c r="A1429" t="s">
        <v>3905</v>
      </c>
      <c r="B1429" t="s">
        <v>3906</v>
      </c>
      <c r="C1429" s="1" t="s">
        <v>3907</v>
      </c>
      <c r="D1429" t="s">
        <v>3908</v>
      </c>
      <c r="E1429">
        <v>30000</v>
      </c>
      <c r="F1429" t="s">
        <v>3767</v>
      </c>
    </row>
    <row r="1430" spans="1:6" customHeight="1" ht="13.8">
      <c r="A1430" t="s">
        <v>3909</v>
      </c>
      <c r="B1430" t="s">
        <v>3910</v>
      </c>
      <c r="C1430" s="1" t="s">
        <v>3911</v>
      </c>
      <c r="D1430" t="s">
        <v>3912</v>
      </c>
      <c r="E1430">
        <v>30000</v>
      </c>
      <c r="F1430" t="s">
        <v>3767</v>
      </c>
    </row>
    <row r="1431" spans="1:6" customHeight="1" ht="13.8">
      <c r="A1431" t="s">
        <v>3913</v>
      </c>
      <c r="B1431" t="s">
        <v>3914</v>
      </c>
      <c r="C1431" s="1" t="s">
        <v>3915</v>
      </c>
      <c r="D1431" t="s">
        <v>2992</v>
      </c>
      <c r="E1431">
        <v>30000</v>
      </c>
      <c r="F1431" t="s">
        <v>3767</v>
      </c>
    </row>
    <row r="1432" spans="1:6" customHeight="1" ht="13.8">
      <c r="A1432" t="s">
        <v>3916</v>
      </c>
      <c r="B1432" t="s">
        <v>3917</v>
      </c>
      <c r="C1432">
        <v>128190146</v>
      </c>
      <c r="D1432" t="s">
        <v>3918</v>
      </c>
      <c r="E1432">
        <v>30000</v>
      </c>
      <c r="F1432" t="s">
        <v>3767</v>
      </c>
    </row>
    <row r="1433" spans="1:6" customHeight="1" ht="13.8">
      <c r="A1433" t="s">
        <v>3919</v>
      </c>
      <c r="B1433" t="s">
        <v>3920</v>
      </c>
      <c r="C1433" s="1" t="s">
        <v>3921</v>
      </c>
      <c r="D1433" t="s">
        <v>3922</v>
      </c>
      <c r="E1433">
        <v>30000</v>
      </c>
      <c r="F1433" t="s">
        <v>3767</v>
      </c>
    </row>
    <row r="1434" spans="1:6" customHeight="1" ht="13.8">
      <c r="A1434" t="s">
        <v>3923</v>
      </c>
      <c r="B1434" t="s">
        <v>3924</v>
      </c>
      <c r="C1434" s="1" t="s">
        <v>3925</v>
      </c>
      <c r="D1434" t="s">
        <v>3926</v>
      </c>
      <c r="E1434">
        <v>30000</v>
      </c>
      <c r="F1434" t="s">
        <v>3767</v>
      </c>
    </row>
    <row r="1435" spans="1:6" customHeight="1" ht="13.8">
      <c r="A1435" t="s">
        <v>3927</v>
      </c>
      <c r="B1435" t="s">
        <v>3928</v>
      </c>
      <c r="C1435" s="1" t="s">
        <v>3929</v>
      </c>
      <c r="D1435" t="s">
        <v>3930</v>
      </c>
      <c r="E1435">
        <v>30000</v>
      </c>
      <c r="F1435" t="s">
        <v>3767</v>
      </c>
    </row>
    <row r="1436" spans="1:6" customHeight="1" ht="13.8">
      <c r="A1436" t="s">
        <v>3931</v>
      </c>
      <c r="B1436" t="s">
        <v>3932</v>
      </c>
      <c r="C1436" s="1" t="s">
        <v>3933</v>
      </c>
      <c r="D1436" t="s">
        <v>3934</v>
      </c>
      <c r="E1436">
        <v>30000</v>
      </c>
      <c r="F1436" t="s">
        <v>3767</v>
      </c>
    </row>
    <row r="1437" spans="1:6" customHeight="1" ht="13.8">
      <c r="A1437" t="s">
        <v>1592</v>
      </c>
      <c r="B1437" t="s">
        <v>1593</v>
      </c>
      <c r="C1437">
        <v>125975441</v>
      </c>
      <c r="D1437" t="s">
        <v>1594</v>
      </c>
      <c r="E1437">
        <v>30000</v>
      </c>
      <c r="F1437" t="s">
        <v>3767</v>
      </c>
    </row>
    <row r="1438" spans="1:6" customHeight="1" ht="13.8">
      <c r="A1438" t="s">
        <v>1573</v>
      </c>
      <c r="B1438" t="s">
        <v>1574</v>
      </c>
      <c r="C1438">
        <v>109583691</v>
      </c>
      <c r="D1438" t="s">
        <v>1575</v>
      </c>
      <c r="E1438">
        <v>24000</v>
      </c>
      <c r="F1438" t="s">
        <v>3935</v>
      </c>
    </row>
    <row r="1439" spans="1:6" customHeight="1" ht="13.8">
      <c r="A1439" t="s">
        <v>3936</v>
      </c>
      <c r="B1439" t="s">
        <v>3937</v>
      </c>
      <c r="C1439" s="1" t="s">
        <v>3938</v>
      </c>
      <c r="D1439" t="s">
        <v>3939</v>
      </c>
      <c r="E1439">
        <v>24000</v>
      </c>
      <c r="F1439" t="s">
        <v>3935</v>
      </c>
    </row>
    <row r="1440" spans="1:6" customHeight="1" ht="13.8">
      <c r="A1440" t="s">
        <v>3940</v>
      </c>
      <c r="B1440" t="s">
        <v>3941</v>
      </c>
      <c r="C1440">
        <v>126380866</v>
      </c>
      <c r="D1440" t="s">
        <v>3942</v>
      </c>
      <c r="E1440">
        <v>24000</v>
      </c>
      <c r="F1440" t="s">
        <v>3935</v>
      </c>
    </row>
    <row r="1441" spans="1:6" customHeight="1" ht="13.8">
      <c r="A1441" t="s">
        <v>3943</v>
      </c>
      <c r="B1441" t="s">
        <v>3944</v>
      </c>
      <c r="C1441" s="1" t="s">
        <v>3945</v>
      </c>
      <c r="D1441" t="s">
        <v>3946</v>
      </c>
      <c r="E1441">
        <v>24000</v>
      </c>
      <c r="F1441" t="s">
        <v>3935</v>
      </c>
    </row>
    <row r="1442" spans="1:6" customHeight="1" ht="13.8">
      <c r="A1442" t="s">
        <v>1612</v>
      </c>
      <c r="B1442" t="s">
        <v>1613</v>
      </c>
      <c r="C1442">
        <v>128427657</v>
      </c>
      <c r="D1442" t="s">
        <v>1614</v>
      </c>
      <c r="E1442">
        <v>24000</v>
      </c>
      <c r="F1442" t="s">
        <v>3935</v>
      </c>
    </row>
    <row r="1443" spans="1:6" customHeight="1" ht="13.8">
      <c r="A1443" t="s">
        <v>3947</v>
      </c>
      <c r="B1443" t="s">
        <v>3948</v>
      </c>
      <c r="C1443">
        <v>119054646</v>
      </c>
      <c r="D1443" t="s">
        <v>184</v>
      </c>
      <c r="E1443">
        <v>24000</v>
      </c>
      <c r="F1443" t="s">
        <v>3935</v>
      </c>
    </row>
    <row r="1444" spans="1:6" customHeight="1" ht="13.8">
      <c r="A1444" t="s">
        <v>3949</v>
      </c>
      <c r="B1444" t="s">
        <v>3950</v>
      </c>
      <c r="C1444" s="1" t="s">
        <v>3951</v>
      </c>
      <c r="D1444" t="s">
        <v>3952</v>
      </c>
      <c r="E1444">
        <v>24000</v>
      </c>
      <c r="F1444" t="s">
        <v>3935</v>
      </c>
    </row>
    <row r="1445" spans="1:6" customHeight="1" ht="13.8">
      <c r="A1445" t="s">
        <v>3953</v>
      </c>
      <c r="B1445" t="s">
        <v>3954</v>
      </c>
      <c r="C1445">
        <v>115937783</v>
      </c>
      <c r="D1445" t="s">
        <v>3955</v>
      </c>
      <c r="E1445">
        <v>24000</v>
      </c>
      <c r="F1445" t="s">
        <v>3935</v>
      </c>
    </row>
    <row r="1446" spans="1:6" customHeight="1" ht="13.8">
      <c r="A1446" t="s">
        <v>3956</v>
      </c>
      <c r="B1446" t="s">
        <v>3957</v>
      </c>
      <c r="C1446" s="1" t="s">
        <v>3958</v>
      </c>
      <c r="D1446" t="s">
        <v>3959</v>
      </c>
      <c r="E1446">
        <v>24000</v>
      </c>
      <c r="F1446" t="s">
        <v>3935</v>
      </c>
    </row>
    <row r="1447" spans="1:6" customHeight="1" ht="13.8">
      <c r="A1447" t="s">
        <v>3960</v>
      </c>
      <c r="B1447" t="s">
        <v>3961</v>
      </c>
      <c r="C1447" s="1" t="s">
        <v>3962</v>
      </c>
      <c r="D1447" t="s">
        <v>3963</v>
      </c>
      <c r="E1447">
        <v>24000</v>
      </c>
      <c r="F1447" t="s">
        <v>3935</v>
      </c>
    </row>
    <row r="1448" spans="1:6" customHeight="1" ht="13.8">
      <c r="A1448" t="s">
        <v>3964</v>
      </c>
      <c r="B1448" t="s">
        <v>3965</v>
      </c>
      <c r="C1448" s="1" t="s">
        <v>3966</v>
      </c>
      <c r="D1448" t="s">
        <v>3967</v>
      </c>
      <c r="E1448">
        <v>24000</v>
      </c>
      <c r="F1448" t="s">
        <v>3935</v>
      </c>
    </row>
    <row r="1449" spans="1:6" customHeight="1" ht="13.8">
      <c r="A1449" t="s">
        <v>3968</v>
      </c>
      <c r="B1449" t="s">
        <v>3969</v>
      </c>
      <c r="C1449" s="1" t="s">
        <v>3970</v>
      </c>
      <c r="D1449" t="s">
        <v>3971</v>
      </c>
      <c r="E1449">
        <v>24000</v>
      </c>
      <c r="F1449" t="s">
        <v>3935</v>
      </c>
    </row>
    <row r="1450" spans="1:6" customHeight="1" ht="13.8">
      <c r="A1450" t="s">
        <v>3972</v>
      </c>
      <c r="B1450" t="s">
        <v>3973</v>
      </c>
      <c r="C1450">
        <v>124306112</v>
      </c>
      <c r="D1450" t="s">
        <v>3819</v>
      </c>
      <c r="E1450">
        <v>24000</v>
      </c>
      <c r="F1450" t="s">
        <v>3935</v>
      </c>
    </row>
    <row r="1451" spans="1:6" customHeight="1" ht="13.8">
      <c r="A1451" t="s">
        <v>3974</v>
      </c>
      <c r="B1451" t="s">
        <v>2099</v>
      </c>
      <c r="C1451" s="1" t="s">
        <v>3975</v>
      </c>
      <c r="D1451" t="s">
        <v>3976</v>
      </c>
      <c r="E1451">
        <v>24000</v>
      </c>
      <c r="F1451" t="s">
        <v>3935</v>
      </c>
    </row>
    <row r="1452" spans="1:6" customHeight="1" ht="13.8">
      <c r="A1452" t="s">
        <v>1608</v>
      </c>
      <c r="B1452" t="s">
        <v>1609</v>
      </c>
      <c r="C1452" s="1" t="s">
        <v>1610</v>
      </c>
      <c r="D1452" t="s">
        <v>1611</v>
      </c>
      <c r="E1452">
        <v>24000</v>
      </c>
      <c r="F1452" t="s">
        <v>3935</v>
      </c>
    </row>
    <row r="1453" spans="1:6" customHeight="1" ht="13.8">
      <c r="A1453" t="s">
        <v>3977</v>
      </c>
      <c r="B1453" t="s">
        <v>3978</v>
      </c>
      <c r="C1453" s="1" t="s">
        <v>3979</v>
      </c>
      <c r="D1453" t="s">
        <v>3980</v>
      </c>
      <c r="E1453">
        <v>24000</v>
      </c>
      <c r="F1453" t="s">
        <v>3935</v>
      </c>
    </row>
    <row r="1454" spans="1:6" customHeight="1" ht="13.8">
      <c r="A1454" t="s">
        <v>3981</v>
      </c>
      <c r="B1454" t="s">
        <v>3982</v>
      </c>
      <c r="C1454">
        <v>138186324</v>
      </c>
      <c r="D1454" t="s">
        <v>3983</v>
      </c>
      <c r="E1454">
        <v>30000</v>
      </c>
      <c r="F1454" t="s">
        <v>3984</v>
      </c>
    </row>
    <row r="1455" spans="1:6" customHeight="1" ht="13.8">
      <c r="A1455" t="s">
        <v>1615</v>
      </c>
      <c r="B1455" t="s">
        <v>1616</v>
      </c>
      <c r="C1455">
        <v>147862914</v>
      </c>
      <c r="D1455" t="s">
        <v>1617</v>
      </c>
      <c r="E1455">
        <v>30000</v>
      </c>
      <c r="F1455" t="s">
        <v>3984</v>
      </c>
    </row>
    <row r="1456" spans="1:6" customHeight="1" ht="13.8">
      <c r="A1456" t="s">
        <v>3985</v>
      </c>
      <c r="B1456" t="s">
        <v>3986</v>
      </c>
      <c r="C1456">
        <v>129408156</v>
      </c>
      <c r="D1456" t="s">
        <v>3987</v>
      </c>
      <c r="E1456">
        <v>30000</v>
      </c>
      <c r="F1456" t="s">
        <v>3984</v>
      </c>
    </row>
    <row r="1457" spans="1:6" customHeight="1" ht="13.8">
      <c r="A1457" t="s">
        <v>3988</v>
      </c>
      <c r="B1457" t="s">
        <v>3989</v>
      </c>
      <c r="C1457">
        <v>148513956</v>
      </c>
      <c r="D1457" t="s">
        <v>3990</v>
      </c>
      <c r="E1457">
        <v>30000</v>
      </c>
      <c r="F1457" t="s">
        <v>3984</v>
      </c>
    </row>
    <row r="1458" spans="1:6" customHeight="1" ht="13.8">
      <c r="A1458" t="s">
        <v>3991</v>
      </c>
      <c r="B1458" t="s">
        <v>3992</v>
      </c>
      <c r="C1458">
        <v>142879423</v>
      </c>
      <c r="D1458" t="s">
        <v>1215</v>
      </c>
      <c r="E1458">
        <v>30000</v>
      </c>
      <c r="F1458" t="s">
        <v>3984</v>
      </c>
    </row>
    <row r="1459" spans="1:6" customHeight="1" ht="13.8">
      <c r="A1459" t="s">
        <v>3993</v>
      </c>
      <c r="B1459" t="s">
        <v>3994</v>
      </c>
      <c r="C1459">
        <v>137087905</v>
      </c>
      <c r="D1459" t="s">
        <v>3995</v>
      </c>
      <c r="E1459">
        <v>30000</v>
      </c>
      <c r="F1459" t="s">
        <v>3984</v>
      </c>
    </row>
    <row r="1460" spans="1:6" customHeight="1" ht="13.8">
      <c r="A1460" t="s">
        <v>3996</v>
      </c>
      <c r="B1460" t="s">
        <v>3997</v>
      </c>
      <c r="C1460">
        <v>149706858</v>
      </c>
      <c r="D1460" t="s">
        <v>3998</v>
      </c>
      <c r="E1460">
        <v>30000</v>
      </c>
      <c r="F1460" t="s">
        <v>3984</v>
      </c>
    </row>
    <row r="1461" spans="1:6" customHeight="1" ht="13.8">
      <c r="A1461" t="s">
        <v>3999</v>
      </c>
      <c r="B1461" t="s">
        <v>4000</v>
      </c>
      <c r="C1461">
        <v>135065026</v>
      </c>
      <c r="D1461" t="s">
        <v>1715</v>
      </c>
      <c r="E1461">
        <v>30000</v>
      </c>
      <c r="F1461" t="s">
        <v>3984</v>
      </c>
    </row>
    <row r="1462" spans="1:6" customHeight="1" ht="13.8">
      <c r="A1462" t="s">
        <v>4001</v>
      </c>
      <c r="B1462" t="s">
        <v>4002</v>
      </c>
      <c r="C1462">
        <v>136367581</v>
      </c>
      <c r="D1462" t="s">
        <v>4003</v>
      </c>
      <c r="E1462">
        <v>30000</v>
      </c>
      <c r="F1462" t="s">
        <v>3984</v>
      </c>
    </row>
    <row r="1463" spans="1:6" customHeight="1" ht="13.8">
      <c r="A1463" t="s">
        <v>4004</v>
      </c>
      <c r="B1463" t="s">
        <v>4005</v>
      </c>
      <c r="C1463">
        <v>150371203</v>
      </c>
      <c r="D1463" t="s">
        <v>4006</v>
      </c>
      <c r="E1463">
        <v>30000</v>
      </c>
      <c r="F1463" t="s">
        <v>3984</v>
      </c>
    </row>
    <row r="1464" spans="1:6" customHeight="1" ht="13.8">
      <c r="A1464" t="s">
        <v>4007</v>
      </c>
      <c r="B1464" t="s">
        <v>4008</v>
      </c>
      <c r="C1464">
        <v>136844510</v>
      </c>
      <c r="D1464" t="s">
        <v>253</v>
      </c>
      <c r="E1464">
        <v>30000</v>
      </c>
      <c r="F1464" t="s">
        <v>3984</v>
      </c>
    </row>
    <row r="1465" spans="1:6" customHeight="1" ht="13.8">
      <c r="A1465" t="s">
        <v>4009</v>
      </c>
      <c r="B1465" t="s">
        <v>4010</v>
      </c>
      <c r="C1465">
        <v>145760962</v>
      </c>
      <c r="D1465" t="s">
        <v>4011</v>
      </c>
      <c r="E1465">
        <v>30000</v>
      </c>
      <c r="F1465" t="s">
        <v>3984</v>
      </c>
    </row>
    <row r="1466" spans="1:6" customHeight="1" ht="13.8">
      <c r="A1466" t="s">
        <v>4012</v>
      </c>
      <c r="B1466" t="s">
        <v>4013</v>
      </c>
      <c r="C1466">
        <v>148850518</v>
      </c>
      <c r="D1466" t="s">
        <v>4014</v>
      </c>
      <c r="E1466">
        <v>30000</v>
      </c>
      <c r="F1466" t="s">
        <v>3984</v>
      </c>
    </row>
    <row r="1467" spans="1:6" customHeight="1" ht="13.8">
      <c r="A1467" t="s">
        <v>4015</v>
      </c>
      <c r="B1467" t="s">
        <v>4016</v>
      </c>
      <c r="C1467">
        <v>143532015</v>
      </c>
      <c r="D1467" t="s">
        <v>4017</v>
      </c>
      <c r="E1467">
        <v>30000</v>
      </c>
      <c r="F1467" t="s">
        <v>3984</v>
      </c>
    </row>
    <row r="1468" spans="1:6" customHeight="1" ht="13.8">
      <c r="A1468" t="s">
        <v>4018</v>
      </c>
      <c r="B1468" t="s">
        <v>4019</v>
      </c>
      <c r="C1468">
        <v>127238540</v>
      </c>
      <c r="D1468" t="s">
        <v>4020</v>
      </c>
      <c r="E1468">
        <v>24000</v>
      </c>
      <c r="F1468" t="s">
        <v>4021</v>
      </c>
    </row>
    <row r="1469" spans="1:6" customHeight="1" ht="13.8">
      <c r="A1469" t="s">
        <v>1596</v>
      </c>
      <c r="B1469" t="s">
        <v>1597</v>
      </c>
      <c r="C1469">
        <v>143179692</v>
      </c>
      <c r="D1469" t="s">
        <v>1598</v>
      </c>
      <c r="E1469">
        <v>24000</v>
      </c>
      <c r="F1469" t="s">
        <v>4021</v>
      </c>
    </row>
    <row r="1470" spans="1:6" customHeight="1" ht="13.8">
      <c r="A1470" t="s">
        <v>4022</v>
      </c>
      <c r="B1470" t="s">
        <v>4023</v>
      </c>
      <c r="C1470">
        <v>141062879</v>
      </c>
      <c r="D1470" t="s">
        <v>3396</v>
      </c>
      <c r="E1470">
        <v>24000</v>
      </c>
      <c r="F1470" t="s">
        <v>4021</v>
      </c>
    </row>
    <row r="1471" spans="1:6" customHeight="1" ht="13.8">
      <c r="A1471" t="s">
        <v>2310</v>
      </c>
      <c r="B1471" t="s">
        <v>2311</v>
      </c>
      <c r="C1471" s="1" t="s">
        <v>2312</v>
      </c>
      <c r="D1471" t="s">
        <v>2313</v>
      </c>
      <c r="E1471">
        <v>20000</v>
      </c>
      <c r="F1471" t="s">
        <v>4024</v>
      </c>
    </row>
    <row r="1472" spans="1:6" customHeight="1" ht="13.8">
      <c r="A1472" t="s">
        <v>3278</v>
      </c>
      <c r="B1472" t="s">
        <v>3279</v>
      </c>
      <c r="C1472" s="1" t="s">
        <v>3280</v>
      </c>
      <c r="D1472" t="s">
        <v>3281</v>
      </c>
      <c r="E1472">
        <v>20000</v>
      </c>
      <c r="F1472" t="s">
        <v>4024</v>
      </c>
    </row>
    <row r="1473" spans="1:6" customHeight="1" ht="13.8">
      <c r="A1473" t="s">
        <v>3715</v>
      </c>
      <c r="B1473" t="s">
        <v>3716</v>
      </c>
      <c r="C1473" s="1" t="s">
        <v>3717</v>
      </c>
      <c r="D1473" t="s">
        <v>3718</v>
      </c>
      <c r="E1473">
        <v>20000</v>
      </c>
      <c r="F1473" t="s">
        <v>4024</v>
      </c>
    </row>
    <row r="1474" spans="1:6" customHeight="1" ht="13.8">
      <c r="A1474" t="s">
        <v>3258</v>
      </c>
      <c r="B1474" t="s">
        <v>3259</v>
      </c>
      <c r="C1474">
        <v>118926373</v>
      </c>
      <c r="D1474" t="s">
        <v>2699</v>
      </c>
      <c r="E1474">
        <v>20000</v>
      </c>
      <c r="F1474" t="s">
        <v>4024</v>
      </c>
    </row>
    <row r="1475" spans="1:6" customHeight="1" ht="13.8">
      <c r="A1475" t="s">
        <v>2845</v>
      </c>
      <c r="B1475" t="s">
        <v>2846</v>
      </c>
      <c r="C1475" s="1" t="s">
        <v>2847</v>
      </c>
      <c r="D1475" t="s">
        <v>2848</v>
      </c>
      <c r="E1475">
        <v>20000</v>
      </c>
      <c r="F1475" t="s">
        <v>4024</v>
      </c>
    </row>
    <row r="1476" spans="1:6" customHeight="1" ht="13.8">
      <c r="A1476" t="s">
        <v>3236</v>
      </c>
      <c r="B1476" t="s">
        <v>3237</v>
      </c>
      <c r="C1476" s="1" t="s">
        <v>3238</v>
      </c>
      <c r="D1476" t="s">
        <v>3239</v>
      </c>
      <c r="E1476">
        <v>20000</v>
      </c>
      <c r="F1476" t="s">
        <v>4024</v>
      </c>
    </row>
    <row r="1477" spans="1:6" customHeight="1" ht="13.8">
      <c r="A1477" t="s">
        <v>2060</v>
      </c>
      <c r="B1477" t="s">
        <v>2061</v>
      </c>
      <c r="C1477" s="1" t="s">
        <v>2062</v>
      </c>
      <c r="D1477" t="s">
        <v>2063</v>
      </c>
      <c r="E1477">
        <v>13000</v>
      </c>
      <c r="F1477" t="s">
        <v>4025</v>
      </c>
    </row>
    <row r="1478" spans="1:6" customHeight="1" ht="13.8">
      <c r="A1478" t="s">
        <v>4026</v>
      </c>
      <c r="B1478" t="s">
        <v>4027</v>
      </c>
      <c r="C1478">
        <v>111518667</v>
      </c>
      <c r="D1478" t="s">
        <v>4028</v>
      </c>
      <c r="E1478">
        <v>28000</v>
      </c>
      <c r="F1478" t="s">
        <v>4029</v>
      </c>
    </row>
    <row r="1479" spans="1:6" customHeight="1" ht="13.8">
      <c r="A1479" t="s">
        <v>4030</v>
      </c>
      <c r="B1479" t="s">
        <v>4027</v>
      </c>
      <c r="C1479">
        <v>111518667</v>
      </c>
      <c r="D1479" t="s">
        <v>3359</v>
      </c>
      <c r="E1479">
        <v>10000</v>
      </c>
      <c r="F1479" t="s">
        <v>4029</v>
      </c>
    </row>
    <row r="1480" spans="1:6" customHeight="1" ht="13.8">
      <c r="A1480" t="s">
        <v>4031</v>
      </c>
      <c r="B1480" t="s">
        <v>4032</v>
      </c>
      <c r="C1480" s="1" t="s">
        <v>4033</v>
      </c>
      <c r="D1480" t="s">
        <v>4034</v>
      </c>
      <c r="E1480">
        <v>40000</v>
      </c>
      <c r="F1480" t="s">
        <v>4029</v>
      </c>
    </row>
    <row r="1481" spans="1:6" customHeight="1" ht="13.8">
      <c r="A1481" t="s">
        <v>4035</v>
      </c>
      <c r="B1481" t="s">
        <v>4032</v>
      </c>
      <c r="C1481" s="1" t="s">
        <v>4033</v>
      </c>
      <c r="D1481" t="s">
        <v>4036</v>
      </c>
      <c r="E1481">
        <v>28000</v>
      </c>
      <c r="F1481" t="s">
        <v>4029</v>
      </c>
    </row>
    <row r="1482" spans="1:6" customHeight="1" ht="13.8">
      <c r="A1482" t="s">
        <v>92</v>
      </c>
      <c r="B1482" t="s">
        <v>93</v>
      </c>
      <c r="C1482" s="1" t="s">
        <v>94</v>
      </c>
      <c r="D1482" t="s">
        <v>95</v>
      </c>
      <c r="E1482">
        <v>5000</v>
      </c>
      <c r="F1482" t="s">
        <v>4037</v>
      </c>
    </row>
    <row r="1483" spans="1:6" customHeight="1" ht="13.8">
      <c r="A1483" t="s">
        <v>92</v>
      </c>
      <c r="B1483" t="s">
        <v>93</v>
      </c>
      <c r="C1483" s="1" t="s">
        <v>94</v>
      </c>
      <c r="D1483" t="s">
        <v>95</v>
      </c>
      <c r="E1483">
        <v>5000</v>
      </c>
      <c r="F1483" t="s">
        <v>4038</v>
      </c>
    </row>
    <row r="1484" spans="1:6" customHeight="1" ht="13.8">
      <c r="A1484" t="s">
        <v>4039</v>
      </c>
      <c r="B1484" t="s">
        <v>4040</v>
      </c>
      <c r="C1484" s="1" t="s">
        <v>4041</v>
      </c>
      <c r="D1484" t="s">
        <v>4042</v>
      </c>
      <c r="E1484">
        <v>15000</v>
      </c>
      <c r="F1484" t="s">
        <v>4043</v>
      </c>
    </row>
    <row r="1485" spans="1:6" customHeight="1" ht="13.8">
      <c r="A1485" t="s">
        <v>341</v>
      </c>
      <c r="B1485" t="s">
        <v>342</v>
      </c>
      <c r="C1485" s="1" t="s">
        <v>343</v>
      </c>
      <c r="D1485" t="s">
        <v>344</v>
      </c>
      <c r="E1485">
        <v>500</v>
      </c>
      <c r="F1485" t="s">
        <v>4044</v>
      </c>
    </row>
    <row r="1486" spans="1:6" customHeight="1" ht="13.8">
      <c r="A1486" t="s">
        <v>23</v>
      </c>
      <c r="B1486" t="s">
        <v>24</v>
      </c>
      <c r="C1486" s="1" t="s">
        <v>25</v>
      </c>
      <c r="D1486" t="s">
        <v>26</v>
      </c>
      <c r="E1486">
        <v>500</v>
      </c>
      <c r="F1486" t="s">
        <v>4045</v>
      </c>
    </row>
    <row r="1487" spans="1:6" customHeight="1" ht="13.8">
      <c r="A1487" t="s">
        <v>4046</v>
      </c>
      <c r="B1487" t="s">
        <v>4047</v>
      </c>
      <c r="C1487" s="1" t="s">
        <v>4048</v>
      </c>
      <c r="D1487" t="s">
        <v>4049</v>
      </c>
      <c r="E1487">
        <v>24000</v>
      </c>
      <c r="F1487" t="s">
        <v>4050</v>
      </c>
    </row>
    <row r="1488" spans="1:6" customHeight="1" ht="13.8">
      <c r="A1488" t="s">
        <v>4051</v>
      </c>
      <c r="B1488" t="s">
        <v>4052</v>
      </c>
      <c r="C1488" s="1" t="s">
        <v>4053</v>
      </c>
      <c r="D1488" t="s">
        <v>1221</v>
      </c>
      <c r="E1488">
        <v>38000</v>
      </c>
      <c r="F1488" t="s">
        <v>4054</v>
      </c>
    </row>
    <row r="1489" spans="1:6" customHeight="1" ht="13.8">
      <c r="A1489" t="s">
        <v>4055</v>
      </c>
      <c r="B1489" t="s">
        <v>4056</v>
      </c>
      <c r="C1489" s="1" t="s">
        <v>4057</v>
      </c>
      <c r="D1489" t="s">
        <v>4058</v>
      </c>
      <c r="E1489">
        <v>9000</v>
      </c>
      <c r="F1489" t="s">
        <v>4059</v>
      </c>
    </row>
    <row r="1490" spans="1:6" customHeight="1" ht="13.8">
      <c r="A1490" t="s">
        <v>2339</v>
      </c>
      <c r="B1490" t="s">
        <v>2340</v>
      </c>
      <c r="C1490">
        <v>111646580</v>
      </c>
      <c r="D1490" t="s">
        <v>1297</v>
      </c>
      <c r="E1490">
        <v>9000</v>
      </c>
      <c r="F1490" t="s">
        <v>4059</v>
      </c>
    </row>
    <row r="1491" spans="1:6" customHeight="1" ht="13.8">
      <c r="A1491" t="s">
        <v>2072</v>
      </c>
      <c r="B1491" t="s">
        <v>2073</v>
      </c>
      <c r="C1491">
        <v>121533115</v>
      </c>
      <c r="D1491" t="s">
        <v>2074</v>
      </c>
      <c r="E1491">
        <v>9000</v>
      </c>
      <c r="F1491" t="s">
        <v>4059</v>
      </c>
    </row>
    <row r="1492" spans="1:6" customHeight="1" ht="13.8">
      <c r="A1492" t="s">
        <v>4060</v>
      </c>
      <c r="B1492" t="s">
        <v>4061</v>
      </c>
      <c r="C1492" s="1" t="s">
        <v>4062</v>
      </c>
      <c r="D1492" t="s">
        <v>4063</v>
      </c>
      <c r="E1492">
        <v>9000</v>
      </c>
      <c r="F1492" t="s">
        <v>4059</v>
      </c>
    </row>
    <row r="1493" spans="1:6" customHeight="1" ht="13.8">
      <c r="A1493" t="s">
        <v>92</v>
      </c>
      <c r="B1493" t="s">
        <v>93</v>
      </c>
      <c r="C1493" s="1" t="s">
        <v>94</v>
      </c>
      <c r="D1493" t="s">
        <v>95</v>
      </c>
      <c r="E1493">
        <v>9000</v>
      </c>
      <c r="F1493" t="s">
        <v>4059</v>
      </c>
    </row>
    <row r="1494" spans="1:6" customHeight="1" ht="13.8">
      <c r="A1494" t="s">
        <v>4064</v>
      </c>
      <c r="B1494" t="s">
        <v>4065</v>
      </c>
      <c r="C1494" s="1" t="s">
        <v>4066</v>
      </c>
      <c r="D1494" t="s">
        <v>4067</v>
      </c>
      <c r="E1494">
        <v>9000</v>
      </c>
      <c r="F1494" t="s">
        <v>4059</v>
      </c>
    </row>
    <row r="1495" spans="1:6" customHeight="1" ht="13.8">
      <c r="A1495" t="s">
        <v>4068</v>
      </c>
      <c r="B1495" t="s">
        <v>4069</v>
      </c>
      <c r="C1495" s="1" t="s">
        <v>4070</v>
      </c>
      <c r="D1495" t="s">
        <v>948</v>
      </c>
      <c r="E1495">
        <v>13000</v>
      </c>
      <c r="F1495" t="s">
        <v>4071</v>
      </c>
    </row>
    <row r="1496" spans="1:6" customHeight="1" ht="13.8">
      <c r="A1496" t="s">
        <v>4072</v>
      </c>
      <c r="B1496" t="s">
        <v>4073</v>
      </c>
      <c r="C1496" s="1" t="s">
        <v>4074</v>
      </c>
      <c r="D1496" t="s">
        <v>4075</v>
      </c>
      <c r="E1496">
        <v>13000</v>
      </c>
      <c r="F1496" t="s">
        <v>4071</v>
      </c>
    </row>
    <row r="1497" spans="1:6" customHeight="1" ht="13.8">
      <c r="A1497" t="s">
        <v>4076</v>
      </c>
      <c r="B1497" t="s">
        <v>4077</v>
      </c>
      <c r="C1497" s="1" t="s">
        <v>4078</v>
      </c>
      <c r="D1497" t="s">
        <v>4079</v>
      </c>
      <c r="E1497">
        <v>13000</v>
      </c>
      <c r="F1497" t="s">
        <v>4071</v>
      </c>
    </row>
    <row r="1498" spans="1:6" customHeight="1" ht="13.8">
      <c r="A1498" t="s">
        <v>4080</v>
      </c>
      <c r="B1498" t="s">
        <v>4081</v>
      </c>
      <c r="C1498" s="1" t="s">
        <v>4082</v>
      </c>
      <c r="D1498" t="s">
        <v>4083</v>
      </c>
      <c r="E1498">
        <v>13000</v>
      </c>
      <c r="F1498" t="s">
        <v>4071</v>
      </c>
    </row>
    <row r="1499" spans="1:6" customHeight="1" ht="13.8">
      <c r="A1499" t="s">
        <v>202</v>
      </c>
      <c r="B1499" t="s">
        <v>203</v>
      </c>
      <c r="C1499" s="1" t="s">
        <v>204</v>
      </c>
      <c r="D1499" t="s">
        <v>205</v>
      </c>
      <c r="E1499">
        <v>13000</v>
      </c>
      <c r="F1499" t="s">
        <v>4071</v>
      </c>
    </row>
    <row r="1500" spans="1:6" customHeight="1" ht="13.8">
      <c r="A1500" t="s">
        <v>1940</v>
      </c>
      <c r="B1500" t="s">
        <v>1941</v>
      </c>
      <c r="C1500" s="1" t="s">
        <v>1942</v>
      </c>
      <c r="D1500" t="s">
        <v>1943</v>
      </c>
      <c r="E1500">
        <v>23000</v>
      </c>
      <c r="F1500" t="s">
        <v>4084</v>
      </c>
    </row>
    <row r="1501" spans="1:6" customHeight="1" ht="13.8">
      <c r="A1501" t="s">
        <v>4085</v>
      </c>
      <c r="B1501" t="s">
        <v>4086</v>
      </c>
      <c r="C1501" s="1" t="s">
        <v>4087</v>
      </c>
      <c r="D1501" t="s">
        <v>4088</v>
      </c>
      <c r="E1501">
        <v>23000</v>
      </c>
      <c r="F1501" t="s">
        <v>4084</v>
      </c>
    </row>
    <row r="1502" spans="1:6" customHeight="1" ht="13.8">
      <c r="A1502" t="s">
        <v>4089</v>
      </c>
      <c r="B1502" t="s">
        <v>4090</v>
      </c>
      <c r="C1502" s="1" t="s">
        <v>4091</v>
      </c>
      <c r="D1502" t="s">
        <v>4092</v>
      </c>
      <c r="E1502">
        <v>23000</v>
      </c>
      <c r="F1502" t="s">
        <v>4084</v>
      </c>
    </row>
    <row r="1503" spans="1:6" customHeight="1" ht="13.8">
      <c r="A1503" t="s">
        <v>6</v>
      </c>
      <c r="B1503" t="s">
        <v>7</v>
      </c>
      <c r="C1503" s="1" t="s">
        <v>8</v>
      </c>
      <c r="D1503" t="s">
        <v>9</v>
      </c>
      <c r="E1503">
        <v>23000</v>
      </c>
      <c r="F1503" t="s">
        <v>4084</v>
      </c>
    </row>
    <row r="1504" spans="1:6" customHeight="1" ht="13.8">
      <c r="A1504" t="s">
        <v>4093</v>
      </c>
      <c r="B1504" t="s">
        <v>4094</v>
      </c>
      <c r="C1504">
        <v>134429292</v>
      </c>
      <c r="D1504" t="s">
        <v>4095</v>
      </c>
      <c r="E1504">
        <v>11000</v>
      </c>
      <c r="F1504" t="s">
        <v>4096</v>
      </c>
    </row>
    <row r="1505" spans="1:6" customHeight="1" ht="13.8">
      <c r="A1505" t="s">
        <v>4097</v>
      </c>
      <c r="B1505" t="s">
        <v>4098</v>
      </c>
      <c r="C1505" s="1" t="s">
        <v>4099</v>
      </c>
      <c r="D1505" t="s">
        <v>4100</v>
      </c>
      <c r="E1505">
        <v>4800</v>
      </c>
      <c r="F1505" t="s">
        <v>4101</v>
      </c>
    </row>
    <row r="1506" spans="1:6" customHeight="1" ht="13.8">
      <c r="A1506" t="s">
        <v>4102</v>
      </c>
      <c r="B1506" t="s">
        <v>4103</v>
      </c>
      <c r="C1506">
        <v>112885283</v>
      </c>
      <c r="D1506" t="s">
        <v>4104</v>
      </c>
      <c r="E1506">
        <v>14500</v>
      </c>
      <c r="F1506" t="s">
        <v>4105</v>
      </c>
    </row>
    <row r="1507" spans="1:6" customHeight="1" ht="13.8">
      <c r="A1507" t="s">
        <v>4106</v>
      </c>
      <c r="B1507" t="s">
        <v>4107</v>
      </c>
      <c r="C1507" s="1" t="s">
        <v>4108</v>
      </c>
      <c r="D1507" t="s">
        <v>1310</v>
      </c>
      <c r="E1507">
        <v>14500</v>
      </c>
      <c r="F1507" t="s">
        <v>4105</v>
      </c>
    </row>
    <row r="1508" spans="1:6" customHeight="1" ht="13.8">
      <c r="A1508" t="s">
        <v>4109</v>
      </c>
      <c r="B1508" t="s">
        <v>4110</v>
      </c>
      <c r="C1508">
        <v>109317412</v>
      </c>
      <c r="D1508" t="s">
        <v>4111</v>
      </c>
      <c r="E1508">
        <v>14500</v>
      </c>
      <c r="F1508" t="s">
        <v>4105</v>
      </c>
    </row>
    <row r="1509" spans="1:6" customHeight="1" ht="13.8">
      <c r="A1509" t="s">
        <v>4112</v>
      </c>
      <c r="B1509" t="s">
        <v>4113</v>
      </c>
      <c r="C1509">
        <v>115288470</v>
      </c>
      <c r="D1509" t="s">
        <v>2383</v>
      </c>
      <c r="E1509">
        <v>14500</v>
      </c>
      <c r="F1509" t="s">
        <v>4105</v>
      </c>
    </row>
    <row r="1510" spans="1:6" customHeight="1" ht="13.8">
      <c r="A1510" t="s">
        <v>4114</v>
      </c>
      <c r="B1510" t="s">
        <v>4115</v>
      </c>
      <c r="C1510">
        <v>131794953</v>
      </c>
      <c r="D1510" t="s">
        <v>4116</v>
      </c>
      <c r="E1510">
        <v>14500</v>
      </c>
      <c r="F1510" t="s">
        <v>4105</v>
      </c>
    </row>
    <row r="1511" spans="1:6" customHeight="1" ht="13.8">
      <c r="A1511" t="s">
        <v>4117</v>
      </c>
      <c r="B1511" t="s">
        <v>4118</v>
      </c>
      <c r="C1511">
        <v>118986553</v>
      </c>
      <c r="D1511" t="s">
        <v>4119</v>
      </c>
      <c r="E1511">
        <v>14500</v>
      </c>
      <c r="F1511" t="s">
        <v>4105</v>
      </c>
    </row>
    <row r="1512" spans="1:6" customHeight="1" ht="13.8">
      <c r="A1512" t="s">
        <v>4120</v>
      </c>
      <c r="B1512" t="s">
        <v>4121</v>
      </c>
      <c r="C1512" s="1" t="s">
        <v>4122</v>
      </c>
      <c r="D1512" t="s">
        <v>4123</v>
      </c>
      <c r="E1512">
        <v>14500</v>
      </c>
      <c r="F1512" t="s">
        <v>4105</v>
      </c>
    </row>
    <row r="1513" spans="1:6" customHeight="1" ht="13.8">
      <c r="A1513" t="s">
        <v>1445</v>
      </c>
      <c r="B1513" t="s">
        <v>1446</v>
      </c>
      <c r="C1513" s="1" t="s">
        <v>1447</v>
      </c>
      <c r="D1513" t="s">
        <v>1287</v>
      </c>
      <c r="E1513">
        <v>14500</v>
      </c>
      <c r="F1513" t="s">
        <v>4124</v>
      </c>
    </row>
    <row r="1514" spans="1:6" customHeight="1" ht="13.8">
      <c r="A1514" t="s">
        <v>4125</v>
      </c>
      <c r="B1514" t="s">
        <v>4126</v>
      </c>
      <c r="C1514" s="1" t="s">
        <v>4127</v>
      </c>
      <c r="D1514" t="s">
        <v>4128</v>
      </c>
      <c r="E1514">
        <v>14500</v>
      </c>
      <c r="F1514" t="s">
        <v>4124</v>
      </c>
    </row>
    <row r="1515" spans="1:6" customHeight="1" ht="13.8">
      <c r="A1515" t="s">
        <v>4129</v>
      </c>
      <c r="B1515" t="s">
        <v>4130</v>
      </c>
      <c r="C1515" s="1" t="s">
        <v>4131</v>
      </c>
      <c r="D1515" t="s">
        <v>1300</v>
      </c>
      <c r="E1515">
        <v>14500</v>
      </c>
      <c r="F1515" t="s">
        <v>4124</v>
      </c>
    </row>
    <row r="1516" spans="1:6" customHeight="1" ht="13.8">
      <c r="A1516" t="s">
        <v>4132</v>
      </c>
      <c r="B1516" t="s">
        <v>4133</v>
      </c>
      <c r="C1516" s="1" t="s">
        <v>4134</v>
      </c>
      <c r="D1516" t="s">
        <v>4135</v>
      </c>
      <c r="E1516">
        <v>16500</v>
      </c>
      <c r="F1516" t="s">
        <v>4136</v>
      </c>
    </row>
    <row r="1517" spans="1:6" customHeight="1" ht="13.8">
      <c r="A1517" t="s">
        <v>2380</v>
      </c>
      <c r="B1517" t="s">
        <v>2381</v>
      </c>
      <c r="C1517" s="1" t="s">
        <v>2382</v>
      </c>
      <c r="D1517" t="s">
        <v>2383</v>
      </c>
      <c r="E1517">
        <v>16500</v>
      </c>
      <c r="F1517" t="s">
        <v>4136</v>
      </c>
    </row>
    <row r="1518" spans="1:6" customHeight="1" ht="13.8">
      <c r="A1518" t="s">
        <v>4137</v>
      </c>
      <c r="B1518" t="s">
        <v>2191</v>
      </c>
      <c r="C1518" s="1" t="s">
        <v>2192</v>
      </c>
      <c r="D1518" t="s">
        <v>4138</v>
      </c>
      <c r="E1518">
        <v>16500</v>
      </c>
      <c r="F1518" t="s">
        <v>4136</v>
      </c>
    </row>
    <row r="1519" spans="1:6" customHeight="1" ht="13.8">
      <c r="A1519" t="s">
        <v>4139</v>
      </c>
      <c r="B1519" t="s">
        <v>4140</v>
      </c>
      <c r="C1519" s="1" t="s">
        <v>4141</v>
      </c>
      <c r="D1519" t="s">
        <v>4142</v>
      </c>
      <c r="E1519">
        <v>16500</v>
      </c>
      <c r="F1519" t="s">
        <v>4136</v>
      </c>
    </row>
    <row r="1520" spans="1:6" customHeight="1" ht="13.8">
      <c r="A1520" t="s">
        <v>4143</v>
      </c>
      <c r="B1520" t="s">
        <v>4144</v>
      </c>
      <c r="C1520">
        <v>122092523</v>
      </c>
      <c r="D1520" t="s">
        <v>4145</v>
      </c>
      <c r="E1520">
        <v>20000</v>
      </c>
      <c r="F1520" t="s">
        <v>4146</v>
      </c>
    </row>
    <row r="1521" spans="1:6" customHeight="1" ht="13.8">
      <c r="A1521" t="s">
        <v>4147</v>
      </c>
      <c r="B1521" t="s">
        <v>1183</v>
      </c>
      <c r="C1521" s="1" t="s">
        <v>4148</v>
      </c>
      <c r="D1521" t="s">
        <v>4149</v>
      </c>
      <c r="E1521">
        <v>20000</v>
      </c>
      <c r="F1521" t="s">
        <v>4146</v>
      </c>
    </row>
    <row r="1522" spans="1:6" customHeight="1" ht="13.8">
      <c r="A1522" t="s">
        <v>4150</v>
      </c>
      <c r="B1522" t="s">
        <v>4151</v>
      </c>
      <c r="C1522" s="1" t="s">
        <v>4152</v>
      </c>
      <c r="D1522" t="s">
        <v>4153</v>
      </c>
      <c r="E1522">
        <v>20000</v>
      </c>
      <c r="F1522" t="s">
        <v>4146</v>
      </c>
    </row>
    <row r="1523" spans="1:6" customHeight="1" ht="13.8">
      <c r="A1523" t="s">
        <v>4154</v>
      </c>
      <c r="B1523" t="s">
        <v>4155</v>
      </c>
      <c r="C1523" s="1" t="s">
        <v>4156</v>
      </c>
      <c r="D1523" t="s">
        <v>4157</v>
      </c>
      <c r="E1523">
        <v>20000</v>
      </c>
      <c r="F1523" t="s">
        <v>4158</v>
      </c>
    </row>
    <row r="1524" spans="1:6" customHeight="1" ht="13.8">
      <c r="A1524" t="s">
        <v>4159</v>
      </c>
      <c r="B1524" t="s">
        <v>4160</v>
      </c>
      <c r="C1524" s="1" t="s">
        <v>4161</v>
      </c>
      <c r="D1524" t="s">
        <v>4162</v>
      </c>
      <c r="E1524">
        <v>20000</v>
      </c>
      <c r="F1524" t="s">
        <v>4158</v>
      </c>
    </row>
    <row r="1525" spans="1:6" customHeight="1" ht="13.8">
      <c r="A1525" t="s">
        <v>4163</v>
      </c>
      <c r="B1525" t="s">
        <v>4164</v>
      </c>
      <c r="C1525">
        <v>107976859</v>
      </c>
      <c r="D1525" t="s">
        <v>4145</v>
      </c>
      <c r="E1525">
        <v>20000</v>
      </c>
      <c r="F1525" t="s">
        <v>4158</v>
      </c>
    </row>
    <row r="1526" spans="1:6" customHeight="1" ht="13.8">
      <c r="A1526" t="s">
        <v>4165</v>
      </c>
      <c r="B1526" t="s">
        <v>4166</v>
      </c>
      <c r="C1526" s="1" t="s">
        <v>4167</v>
      </c>
      <c r="D1526" t="s">
        <v>4168</v>
      </c>
      <c r="E1526">
        <v>20000</v>
      </c>
      <c r="F1526" t="s">
        <v>4158</v>
      </c>
    </row>
    <row r="1527" spans="1:6" customHeight="1" ht="13.8">
      <c r="A1527" t="s">
        <v>4169</v>
      </c>
      <c r="B1527" t="s">
        <v>4170</v>
      </c>
      <c r="C1527" s="1" t="s">
        <v>4171</v>
      </c>
      <c r="D1527" t="s">
        <v>4172</v>
      </c>
      <c r="E1527">
        <v>20000</v>
      </c>
      <c r="F1527" t="s">
        <v>4158</v>
      </c>
    </row>
    <row r="1528" spans="1:6" customHeight="1" ht="13.8">
      <c r="A1528" t="s">
        <v>4173</v>
      </c>
      <c r="B1528" t="s">
        <v>4174</v>
      </c>
      <c r="C1528">
        <v>108430781</v>
      </c>
      <c r="D1528" t="s">
        <v>2349</v>
      </c>
      <c r="E1528">
        <v>20000</v>
      </c>
      <c r="F1528" t="s">
        <v>4158</v>
      </c>
    </row>
    <row r="1529" spans="1:6" customHeight="1" ht="13.8">
      <c r="A1529" t="s">
        <v>4175</v>
      </c>
      <c r="B1529" t="s">
        <v>4176</v>
      </c>
      <c r="C1529" s="1" t="s">
        <v>4177</v>
      </c>
      <c r="D1529" t="s">
        <v>4178</v>
      </c>
      <c r="E1529">
        <v>20000</v>
      </c>
      <c r="F1529" t="s">
        <v>4158</v>
      </c>
    </row>
    <row r="1530" spans="1:6" customHeight="1" ht="13.8">
      <c r="A1530" t="s">
        <v>4179</v>
      </c>
      <c r="B1530" t="s">
        <v>4180</v>
      </c>
      <c r="C1530" s="1" t="s">
        <v>4181</v>
      </c>
      <c r="D1530" t="s">
        <v>4182</v>
      </c>
      <c r="E1530">
        <v>20000</v>
      </c>
      <c r="F1530" t="s">
        <v>4158</v>
      </c>
    </row>
    <row r="1531" spans="1:6" customHeight="1" ht="13.8">
      <c r="A1531" t="s">
        <v>4183</v>
      </c>
      <c r="B1531" t="s">
        <v>4184</v>
      </c>
      <c r="C1531" s="1" t="s">
        <v>4185</v>
      </c>
      <c r="D1531" t="s">
        <v>4186</v>
      </c>
      <c r="E1531">
        <v>31000</v>
      </c>
      <c r="F1531" t="s">
        <v>4187</v>
      </c>
    </row>
    <row r="1532" spans="1:6" customHeight="1" ht="13.8">
      <c r="A1532" t="s">
        <v>4188</v>
      </c>
      <c r="B1532" t="s">
        <v>4189</v>
      </c>
      <c r="C1532" s="1" t="s">
        <v>4190</v>
      </c>
      <c r="D1532" t="s">
        <v>4191</v>
      </c>
      <c r="E1532">
        <v>31000</v>
      </c>
      <c r="F1532" t="s">
        <v>4192</v>
      </c>
    </row>
    <row r="1533" spans="1:6" customHeight="1" ht="13.8">
      <c r="A1533" t="s">
        <v>4193</v>
      </c>
      <c r="B1533" t="s">
        <v>4194</v>
      </c>
      <c r="C1533" s="1" t="s">
        <v>4195</v>
      </c>
      <c r="D1533" t="s">
        <v>4196</v>
      </c>
      <c r="E1533">
        <v>31000</v>
      </c>
      <c r="F1533" t="s">
        <v>4192</v>
      </c>
    </row>
    <row r="1534" spans="1:6" customHeight="1" ht="13.8">
      <c r="A1534" t="s">
        <v>4197</v>
      </c>
      <c r="B1534" t="s">
        <v>4198</v>
      </c>
      <c r="C1534" s="1" t="s">
        <v>4199</v>
      </c>
      <c r="D1534" t="s">
        <v>4200</v>
      </c>
      <c r="E1534">
        <v>31000</v>
      </c>
      <c r="F1534" t="s">
        <v>4192</v>
      </c>
    </row>
    <row r="1535" spans="1:6" customHeight="1" ht="13.8">
      <c r="A1535" t="s">
        <v>4201</v>
      </c>
      <c r="B1535" t="s">
        <v>4155</v>
      </c>
      <c r="C1535" s="1" t="s">
        <v>4156</v>
      </c>
      <c r="D1535" t="s">
        <v>4202</v>
      </c>
      <c r="E1535">
        <v>33000</v>
      </c>
      <c r="F1535" t="s">
        <v>4203</v>
      </c>
    </row>
    <row r="1536" spans="1:6" customHeight="1" ht="13.8">
      <c r="A1536" t="s">
        <v>4204</v>
      </c>
      <c r="B1536" t="s">
        <v>4155</v>
      </c>
      <c r="C1536" s="1" t="s">
        <v>4156</v>
      </c>
      <c r="D1536" t="s">
        <v>4205</v>
      </c>
      <c r="E1536">
        <v>-33000</v>
      </c>
      <c r="F1536" t="s">
        <v>4203</v>
      </c>
    </row>
    <row r="1537" spans="1:6" customHeight="1" ht="13.8">
      <c r="A1537" t="s">
        <v>4206</v>
      </c>
      <c r="B1537" t="s">
        <v>2248</v>
      </c>
      <c r="C1537" s="1" t="s">
        <v>4207</v>
      </c>
      <c r="D1537" t="s">
        <v>66</v>
      </c>
      <c r="E1537">
        <v>33000</v>
      </c>
      <c r="F1537" t="s">
        <v>4203</v>
      </c>
    </row>
    <row r="1538" spans="1:6" customHeight="1" ht="13.8">
      <c r="A1538" t="s">
        <v>4208</v>
      </c>
      <c r="B1538" t="s">
        <v>4209</v>
      </c>
      <c r="C1538" s="1" t="s">
        <v>4210</v>
      </c>
      <c r="D1538" t="s">
        <v>4211</v>
      </c>
      <c r="E1538">
        <v>33000</v>
      </c>
      <c r="F1538" t="s">
        <v>4203</v>
      </c>
    </row>
    <row r="1539" spans="1:6" customHeight="1" ht="13.8">
      <c r="A1539" t="s">
        <v>4212</v>
      </c>
      <c r="B1539" t="s">
        <v>4213</v>
      </c>
      <c r="C1539">
        <v>118475826</v>
      </c>
      <c r="D1539" t="s">
        <v>4214</v>
      </c>
      <c r="E1539">
        <v>33000</v>
      </c>
      <c r="F1539" t="s">
        <v>4203</v>
      </c>
    </row>
    <row r="1540" spans="1:6" customHeight="1" ht="13.8">
      <c r="A1540" t="s">
        <v>4215</v>
      </c>
      <c r="B1540" t="s">
        <v>2099</v>
      </c>
      <c r="C1540" s="1" t="s">
        <v>4216</v>
      </c>
      <c r="D1540" t="s">
        <v>4217</v>
      </c>
      <c r="E1540">
        <v>33000</v>
      </c>
      <c r="F1540" t="s">
        <v>4203</v>
      </c>
    </row>
    <row r="1541" spans="1:6" customHeight="1" ht="13.8">
      <c r="A1541" t="s">
        <v>4218</v>
      </c>
      <c r="B1541" t="s">
        <v>2082</v>
      </c>
      <c r="C1541" s="1" t="s">
        <v>2083</v>
      </c>
      <c r="D1541" t="s">
        <v>4219</v>
      </c>
      <c r="E1541">
        <v>33000</v>
      </c>
      <c r="F1541" t="s">
        <v>4203</v>
      </c>
    </row>
    <row r="1542" spans="1:6" customHeight="1" ht="13.8">
      <c r="A1542" t="s">
        <v>4220</v>
      </c>
      <c r="B1542" t="s">
        <v>4221</v>
      </c>
      <c r="C1542" s="1" t="s">
        <v>4222</v>
      </c>
      <c r="D1542" t="s">
        <v>4223</v>
      </c>
      <c r="E1542">
        <v>33000</v>
      </c>
      <c r="F1542" t="s">
        <v>4224</v>
      </c>
    </row>
    <row r="1543" spans="1:6" customHeight="1" ht="13.8">
      <c r="A1543" t="s">
        <v>4225</v>
      </c>
      <c r="B1543" t="s">
        <v>4226</v>
      </c>
      <c r="C1543" s="1" t="s">
        <v>4227</v>
      </c>
      <c r="D1543" t="s">
        <v>4228</v>
      </c>
      <c r="E1543">
        <v>33000</v>
      </c>
      <c r="F1543" t="s">
        <v>4224</v>
      </c>
    </row>
    <row r="1544" spans="1:6" customHeight="1" ht="13.8">
      <c r="A1544" t="s">
        <v>4229</v>
      </c>
      <c r="B1544" t="s">
        <v>4230</v>
      </c>
      <c r="C1544" s="1" t="s">
        <v>4231</v>
      </c>
      <c r="D1544" t="s">
        <v>4232</v>
      </c>
      <c r="E1544">
        <v>33000</v>
      </c>
      <c r="F1544" t="s">
        <v>4224</v>
      </c>
    </row>
    <row r="1545" spans="1:6" customHeight="1" ht="13.8">
      <c r="A1545" t="s">
        <v>4233</v>
      </c>
      <c r="B1545" t="s">
        <v>4234</v>
      </c>
      <c r="C1545" s="1" t="s">
        <v>4235</v>
      </c>
      <c r="D1545" t="s">
        <v>4236</v>
      </c>
      <c r="E1545">
        <v>33000</v>
      </c>
      <c r="F1545" t="s">
        <v>4224</v>
      </c>
    </row>
    <row r="1546" spans="1:6" customHeight="1" ht="13.8">
      <c r="A1546" t="s">
        <v>4237</v>
      </c>
      <c r="B1546" t="s">
        <v>4238</v>
      </c>
      <c r="C1546" s="1" t="s">
        <v>4239</v>
      </c>
      <c r="D1546" t="s">
        <v>4240</v>
      </c>
      <c r="E1546">
        <v>33000</v>
      </c>
      <c r="F1546" t="s">
        <v>4224</v>
      </c>
    </row>
    <row r="1547" spans="1:6" customHeight="1" ht="13.8">
      <c r="A1547" t="s">
        <v>4241</v>
      </c>
      <c r="B1547" t="s">
        <v>4242</v>
      </c>
      <c r="C1547" s="1" t="s">
        <v>4243</v>
      </c>
      <c r="D1547" t="s">
        <v>4244</v>
      </c>
      <c r="E1547">
        <v>33000</v>
      </c>
      <c r="F1547" t="s">
        <v>4224</v>
      </c>
    </row>
    <row r="1548" spans="1:6" customHeight="1" ht="13.8">
      <c r="A1548" t="s">
        <v>4245</v>
      </c>
      <c r="B1548" t="s">
        <v>4246</v>
      </c>
      <c r="C1548" s="1" t="s">
        <v>4247</v>
      </c>
      <c r="D1548" t="s">
        <v>2383</v>
      </c>
      <c r="E1548">
        <v>39000</v>
      </c>
      <c r="F1548" t="s">
        <v>4248</v>
      </c>
    </row>
    <row r="1549" spans="1:6" customHeight="1" ht="13.8">
      <c r="A1549" t="s">
        <v>4249</v>
      </c>
      <c r="B1549" t="s">
        <v>4250</v>
      </c>
      <c r="C1549">
        <v>116939230</v>
      </c>
      <c r="D1549" t="s">
        <v>4251</v>
      </c>
      <c r="E1549">
        <v>39000</v>
      </c>
      <c r="F1549" t="s">
        <v>4252</v>
      </c>
    </row>
    <row r="1550" spans="1:6" customHeight="1" ht="13.8">
      <c r="A1550" t="s">
        <v>4253</v>
      </c>
      <c r="B1550" t="s">
        <v>4254</v>
      </c>
      <c r="C1550">
        <v>111347421</v>
      </c>
      <c r="D1550" t="s">
        <v>4255</v>
      </c>
      <c r="E1550">
        <v>22900</v>
      </c>
      <c r="F1550" t="s">
        <v>4256</v>
      </c>
    </row>
    <row r="1551" spans="1:6" customHeight="1" ht="13.8">
      <c r="A1551" t="s">
        <v>4257</v>
      </c>
      <c r="B1551" t="s">
        <v>4258</v>
      </c>
      <c r="C1551" s="1" t="s">
        <v>4259</v>
      </c>
      <c r="D1551" t="s">
        <v>4260</v>
      </c>
      <c r="E1551">
        <v>13000</v>
      </c>
      <c r="F1551" t="s">
        <v>4261</v>
      </c>
    </row>
    <row r="1552" spans="1:6" customHeight="1" ht="13.8">
      <c r="A1552" t="s">
        <v>4109</v>
      </c>
      <c r="B1552" t="s">
        <v>4110</v>
      </c>
      <c r="C1552">
        <v>109317412</v>
      </c>
      <c r="D1552" t="s">
        <v>4111</v>
      </c>
      <c r="E1552">
        <v>13000</v>
      </c>
      <c r="F1552" t="s">
        <v>4261</v>
      </c>
    </row>
    <row r="1553" spans="1:6" customHeight="1" ht="13.8">
      <c r="A1553" t="s">
        <v>64</v>
      </c>
      <c r="B1553" t="s">
        <v>65</v>
      </c>
      <c r="C1553">
        <v>109844707</v>
      </c>
      <c r="D1553" t="s">
        <v>66</v>
      </c>
      <c r="E1553">
        <v>13000</v>
      </c>
      <c r="F1553" t="s">
        <v>4261</v>
      </c>
    </row>
    <row r="1554" spans="1:6" customHeight="1" ht="13.8">
      <c r="A1554" t="s">
        <v>2085</v>
      </c>
      <c r="B1554" t="s">
        <v>2086</v>
      </c>
      <c r="C1554" s="1" t="s">
        <v>2087</v>
      </c>
      <c r="D1554" t="s">
        <v>2088</v>
      </c>
      <c r="E1554">
        <v>13000</v>
      </c>
      <c r="F1554" t="s">
        <v>4261</v>
      </c>
    </row>
    <row r="1555" spans="1:6" customHeight="1" ht="13.8">
      <c r="A1555" t="s">
        <v>3760</v>
      </c>
      <c r="B1555" t="s">
        <v>3761</v>
      </c>
      <c r="C1555" s="1" t="s">
        <v>3762</v>
      </c>
      <c r="D1555" t="s">
        <v>2344</v>
      </c>
      <c r="E1555">
        <v>13000</v>
      </c>
      <c r="F1555" t="s">
        <v>4261</v>
      </c>
    </row>
    <row r="1556" spans="1:6" customHeight="1" ht="13.8">
      <c r="A1556" t="s">
        <v>4262</v>
      </c>
      <c r="B1556" t="s">
        <v>4263</v>
      </c>
      <c r="C1556">
        <v>131774407</v>
      </c>
      <c r="D1556" t="s">
        <v>4264</v>
      </c>
      <c r="E1556">
        <v>13000</v>
      </c>
      <c r="F1556" t="s">
        <v>4261</v>
      </c>
    </row>
    <row r="1557" spans="1:6" customHeight="1" ht="13.8">
      <c r="A1557" t="s">
        <v>2423</v>
      </c>
      <c r="B1557" t="s">
        <v>2424</v>
      </c>
      <c r="C1557" s="1" t="s">
        <v>2425</v>
      </c>
      <c r="D1557" t="s">
        <v>2426</v>
      </c>
      <c r="E1557">
        <v>5000</v>
      </c>
      <c r="F1557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H1" t="s">
        <v>4265</v>
      </c>
      <c r="I1" t="s">
        <v>4266</v>
      </c>
    </row>
    <row r="2" spans="1:9">
      <c r="A2" t="s">
        <v>6</v>
      </c>
      <c r="B2" t="str">
        <f>VLOOKUP($A2,Szamlaszamok!$A1:F1557,2,FALSE)</f>
      </c>
      <c r="C2" t="str">
        <f>VLOOKUP($A2,Szamlaszamok!$A1:F1557,3,FALSE)</f>
      </c>
      <c r="D2" t="str">
        <f>VLOOKUP($A2,Szamlaszamok!$A1:F1557,4,FALSE)</f>
      </c>
      <c r="E2" t="str">
        <f>DATE(YEAR(D2),MONTH(D2),DAY(D2))</f>
      </c>
      <c r="F2" t="str">
        <f>CONCATENATE(C2,E2)</f>
      </c>
      <c r="G2" t="str">
        <f>TIMEVALUE(D2)</f>
      </c>
      <c r="H2" t="str">
        <f>COUNTIF(Szamlaszamok!A:A,A2)</f>
      </c>
      <c r="I2" t="str">
        <f>SUMIFS(Szamlaszamok!E:E,Szamlaszamok!A:A,Szamlaszamok_nonduplicate!A2)</f>
      </c>
    </row>
    <row r="3" spans="1:9">
      <c r="A3" t="s">
        <v>11</v>
      </c>
      <c r="B3" t="str">
        <f>VLOOKUP($A3,Szamlaszamok!$A2:F1558,2,FALSE)</f>
      </c>
      <c r="C3" t="str">
        <f>VLOOKUP($A3,Szamlaszamok!$A2:F1558,3,FALSE)</f>
      </c>
      <c r="D3" t="str">
        <f>VLOOKUP($A3,Szamlaszamok!$A2:F1558,4,FALSE)</f>
      </c>
      <c r="E3" t="str">
        <f>DATE(YEAR(D3),MONTH(D3),DAY(D3))</f>
      </c>
      <c r="F3" t="str">
        <f>CONCATENATE(C3,E3)</f>
      </c>
      <c r="G3" t="str">
        <f>TIMEVALUE(D3)</f>
      </c>
      <c r="H3" t="str">
        <f>COUNTIF(Szamlaszamok!A:A,A3)</f>
      </c>
      <c r="I3" t="str">
        <f>SUMIFS(Szamlaszamok!E:E,Szamlaszamok!A:A,Szamlaszamok_nonduplicate!A3)</f>
      </c>
    </row>
    <row r="4" spans="1:9">
      <c r="A4" t="s">
        <v>15</v>
      </c>
      <c r="B4" t="str">
        <f>VLOOKUP($A4,Szamlaszamok!$A3:F1559,2,FALSE)</f>
      </c>
      <c r="C4" t="str">
        <f>VLOOKUP($A4,Szamlaszamok!$A3:F1559,3,FALSE)</f>
      </c>
      <c r="D4" t="str">
        <f>VLOOKUP($A4,Szamlaszamok!$A3:F1559,4,FALSE)</f>
      </c>
      <c r="E4" t="str">
        <f>DATE(YEAR(D4),MONTH(D4),DAY(D4))</f>
      </c>
      <c r="F4" t="str">
        <f>CONCATENATE(C4,E4)</f>
      </c>
      <c r="G4" t="str">
        <f>TIMEVALUE(D4)</f>
      </c>
      <c r="H4" t="str">
        <f>COUNTIF(Szamlaszamok!A:A,A4)</f>
      </c>
      <c r="I4" t="str">
        <f>SUMIFS(Szamlaszamok!E:E,Szamlaszamok!A:A,Szamlaszamok_nonduplicate!A4)</f>
      </c>
    </row>
    <row r="5" spans="1:9">
      <c r="A5" t="s">
        <v>19</v>
      </c>
      <c r="B5" t="str">
        <f>VLOOKUP($A5,Szamlaszamok!$A4:F1560,2,FALSE)</f>
      </c>
      <c r="C5" t="str">
        <f>VLOOKUP($A5,Szamlaszamok!$A4:F1560,3,FALSE)</f>
      </c>
      <c r="D5" t="str">
        <f>VLOOKUP($A5,Szamlaszamok!$A4:F1560,4,FALSE)</f>
      </c>
      <c r="E5" t="str">
        <f>DATE(YEAR(D5),MONTH(D5),DAY(D5))</f>
      </c>
      <c r="F5" t="str">
        <f>CONCATENATE(C5,E5)</f>
      </c>
      <c r="G5" t="str">
        <f>TIMEVALUE(D5)</f>
      </c>
      <c r="H5" t="str">
        <f>COUNTIF(Szamlaszamok!A:A,A5)</f>
      </c>
      <c r="I5" t="str">
        <f>SUMIFS(Szamlaszamok!E:E,Szamlaszamok!A:A,Szamlaszamok_nonduplicate!A5)</f>
      </c>
    </row>
    <row r="6" spans="1:9">
      <c r="A6" t="s">
        <v>23</v>
      </c>
      <c r="B6" t="str">
        <f>VLOOKUP($A6,Szamlaszamok!$A5:F1561,2,FALSE)</f>
      </c>
      <c r="C6" t="str">
        <f>VLOOKUP($A6,Szamlaszamok!$A5:F1561,3,FALSE)</f>
      </c>
      <c r="D6" t="str">
        <f>VLOOKUP($A6,Szamlaszamok!$A5:F1561,4,FALSE)</f>
      </c>
      <c r="E6" t="str">
        <f>DATE(YEAR(D6),MONTH(D6),DAY(D6))</f>
      </c>
      <c r="F6" t="str">
        <f>CONCATENATE(C6,E6)</f>
      </c>
      <c r="G6" t="str">
        <f>TIMEVALUE(D6)</f>
      </c>
      <c r="H6" t="str">
        <f>COUNTIF(Szamlaszamok!A:A,A6)</f>
      </c>
      <c r="I6" t="str">
        <f>SUMIFS(Szamlaszamok!E:E,Szamlaszamok!A:A,Szamlaszamok_nonduplicate!A6)</f>
      </c>
    </row>
    <row r="7" spans="1:9">
      <c r="A7" t="s">
        <v>28</v>
      </c>
      <c r="B7" t="str">
        <f>VLOOKUP($A7,Szamlaszamok!$A6:F1562,2,FALSE)</f>
      </c>
      <c r="C7" t="str">
        <f>VLOOKUP($A7,Szamlaszamok!$A6:F1562,3,FALSE)</f>
      </c>
      <c r="D7" t="str">
        <f>VLOOKUP($A7,Szamlaszamok!$A6:F1562,4,FALSE)</f>
      </c>
      <c r="E7" t="str">
        <f>DATE(YEAR(D7),MONTH(D7),DAY(D7))</f>
      </c>
      <c r="F7" t="str">
        <f>CONCATENATE(C7,E7)</f>
      </c>
      <c r="G7" t="str">
        <f>TIMEVALUE(D7)</f>
      </c>
      <c r="H7" t="str">
        <f>COUNTIF(Szamlaszamok!A:A,A7)</f>
      </c>
      <c r="I7" t="str">
        <f>SUMIFS(Szamlaszamok!E:E,Szamlaszamok!A:A,Szamlaszamok_nonduplicate!A7)</f>
      </c>
    </row>
    <row r="8" spans="1:9">
      <c r="A8" t="s">
        <v>32</v>
      </c>
      <c r="B8" t="str">
        <f>VLOOKUP($A8,Szamlaszamok!$A7:F1563,2,FALSE)</f>
      </c>
      <c r="C8" t="str">
        <f>VLOOKUP($A8,Szamlaszamok!$A7:F1563,3,FALSE)</f>
      </c>
      <c r="D8" t="str">
        <f>VLOOKUP($A8,Szamlaszamok!$A7:F1563,4,FALSE)</f>
      </c>
      <c r="E8" t="str">
        <f>DATE(YEAR(D8),MONTH(D8),DAY(D8))</f>
      </c>
      <c r="F8" t="str">
        <f>CONCATENATE(C8,E8)</f>
      </c>
      <c r="G8" t="str">
        <f>TIMEVALUE(D8)</f>
      </c>
      <c r="H8" t="str">
        <f>COUNTIF(Szamlaszamok!A:A,A8)</f>
      </c>
      <c r="I8" t="str">
        <f>SUMIFS(Szamlaszamok!E:E,Szamlaszamok!A:A,Szamlaszamok_nonduplicate!A8)</f>
      </c>
    </row>
    <row r="9" spans="1:9">
      <c r="A9" t="s">
        <v>35</v>
      </c>
      <c r="B9" t="str">
        <f>VLOOKUP($A9,Szamlaszamok!$A8:F1564,2,FALSE)</f>
      </c>
      <c r="C9" t="str">
        <f>VLOOKUP($A9,Szamlaszamok!$A8:F1564,3,FALSE)</f>
      </c>
      <c r="D9" t="str">
        <f>VLOOKUP($A9,Szamlaszamok!$A8:F1564,4,FALSE)</f>
      </c>
      <c r="E9" t="str">
        <f>DATE(YEAR(D9),MONTH(D9),DAY(D9))</f>
      </c>
      <c r="F9" t="str">
        <f>CONCATENATE(C9,E9)</f>
      </c>
      <c r="G9" t="str">
        <f>TIMEVALUE(D9)</f>
      </c>
      <c r="H9" t="str">
        <f>COUNTIF(Szamlaszamok!A:A,A9)</f>
      </c>
      <c r="I9" t="str">
        <f>SUMIFS(Szamlaszamok!E:E,Szamlaszamok!A:A,Szamlaszamok_nonduplicate!A9)</f>
      </c>
    </row>
    <row r="10" spans="1:9">
      <c r="A10" t="s">
        <v>39</v>
      </c>
      <c r="B10" t="str">
        <f>VLOOKUP($A10,Szamlaszamok!$A9:F1565,2,FALSE)</f>
      </c>
      <c r="C10" t="str">
        <f>VLOOKUP($A10,Szamlaszamok!$A9:F1565,3,FALSE)</f>
      </c>
      <c r="D10" t="str">
        <f>VLOOKUP($A10,Szamlaszamok!$A9:F1565,4,FALSE)</f>
      </c>
      <c r="E10" t="str">
        <f>DATE(YEAR(D10),MONTH(D10),DAY(D10))</f>
      </c>
      <c r="F10" t="str">
        <f>CONCATENATE(C10,E10)</f>
      </c>
      <c r="G10" t="str">
        <f>TIMEVALUE(D10)</f>
      </c>
      <c r="H10" t="str">
        <f>COUNTIF(Szamlaszamok!A:A,A10)</f>
      </c>
      <c r="I10" t="str">
        <f>SUMIFS(Szamlaszamok!E:E,Szamlaszamok!A:A,Szamlaszamok_nonduplicate!A10)</f>
      </c>
    </row>
    <row r="11" spans="1:9">
      <c r="A11" t="s">
        <v>44</v>
      </c>
      <c r="B11" t="str">
        <f>VLOOKUP($A11,Szamlaszamok!$A10:F1566,2,FALSE)</f>
      </c>
      <c r="C11" t="str">
        <f>VLOOKUP($A11,Szamlaszamok!$A10:F1566,3,FALSE)</f>
      </c>
      <c r="D11" t="str">
        <f>VLOOKUP($A11,Szamlaszamok!$A10:F1566,4,FALSE)</f>
      </c>
      <c r="E11" t="str">
        <f>DATE(YEAR(D11),MONTH(D11),DAY(D11))</f>
      </c>
      <c r="F11" t="str">
        <f>CONCATENATE(C11,E11)</f>
      </c>
      <c r="G11" t="str">
        <f>TIMEVALUE(D11)</f>
      </c>
      <c r="H11" t="str">
        <f>COUNTIF(Szamlaszamok!A:A,A11)</f>
      </c>
      <c r="I11" t="str">
        <f>SUMIFS(Szamlaszamok!E:E,Szamlaszamok!A:A,Szamlaszamok_nonduplicate!A11)</f>
      </c>
    </row>
    <row r="12" spans="1:9">
      <c r="A12" t="s">
        <v>49</v>
      </c>
      <c r="B12" t="str">
        <f>VLOOKUP($A12,Szamlaszamok!$A11:F1567,2,FALSE)</f>
      </c>
      <c r="C12" t="str">
        <f>VLOOKUP($A12,Szamlaszamok!$A11:F1567,3,FALSE)</f>
      </c>
      <c r="D12" t="str">
        <f>VLOOKUP($A12,Szamlaszamok!$A11:F1567,4,FALSE)</f>
      </c>
      <c r="E12" t="str">
        <f>DATE(YEAR(D12),MONTH(D12),DAY(D12))</f>
      </c>
      <c r="F12" t="str">
        <f>CONCATENATE(C12,E12)</f>
      </c>
      <c r="G12" t="str">
        <f>TIMEVALUE(D12)</f>
      </c>
      <c r="H12" t="str">
        <f>COUNTIF(Szamlaszamok!A:A,A12)</f>
      </c>
      <c r="I12" t="str">
        <f>SUMIFS(Szamlaszamok!E:E,Szamlaszamok!A:A,Szamlaszamok_nonduplicate!A12)</f>
      </c>
    </row>
    <row r="13" spans="1:9">
      <c r="A13" t="s">
        <v>53</v>
      </c>
      <c r="B13" t="str">
        <f>VLOOKUP($A13,Szamlaszamok!$A12:F1568,2,FALSE)</f>
      </c>
      <c r="C13" t="str">
        <f>VLOOKUP($A13,Szamlaszamok!$A12:F1568,3,FALSE)</f>
      </c>
      <c r="D13" t="str">
        <f>VLOOKUP($A13,Szamlaszamok!$A12:F1568,4,FALSE)</f>
      </c>
      <c r="E13" t="str">
        <f>DATE(YEAR(D13),MONTH(D13),DAY(D13))</f>
      </c>
      <c r="F13" t="str">
        <f>CONCATENATE(C13,E13)</f>
      </c>
      <c r="G13" t="str">
        <f>TIMEVALUE(D13)</f>
      </c>
      <c r="H13" t="str">
        <f>COUNTIF(Szamlaszamok!A:A,A13)</f>
      </c>
      <c r="I13" t="str">
        <f>SUMIFS(Szamlaszamok!E:E,Szamlaszamok!A:A,Szamlaszamok_nonduplicate!A13)</f>
      </c>
    </row>
    <row r="14" spans="1:9">
      <c r="A14" t="s">
        <v>57</v>
      </c>
      <c r="B14" t="str">
        <f>VLOOKUP($A14,Szamlaszamok!$A13:F1569,2,FALSE)</f>
      </c>
      <c r="C14" t="str">
        <f>VLOOKUP($A14,Szamlaszamok!$A13:F1569,3,FALSE)</f>
      </c>
      <c r="D14" t="str">
        <f>VLOOKUP($A14,Szamlaszamok!$A13:F1569,4,FALSE)</f>
      </c>
      <c r="E14" t="str">
        <f>DATE(YEAR(D14),MONTH(D14),DAY(D14))</f>
      </c>
      <c r="F14" t="str">
        <f>CONCATENATE(C14,E14)</f>
      </c>
      <c r="G14" t="str">
        <f>TIMEVALUE(D14)</f>
      </c>
      <c r="H14" t="str">
        <f>COUNTIF(Szamlaszamok!A:A,A14)</f>
      </c>
      <c r="I14" t="str">
        <f>SUMIFS(Szamlaszamok!E:E,Szamlaszamok!A:A,Szamlaszamok_nonduplicate!A14)</f>
      </c>
    </row>
    <row r="15" spans="1:9">
      <c r="A15" t="s">
        <v>60</v>
      </c>
      <c r="B15" t="str">
        <f>VLOOKUP($A15,Szamlaszamok!$A14:F1570,2,FALSE)</f>
      </c>
      <c r="C15" t="str">
        <f>VLOOKUP($A15,Szamlaszamok!$A14:F1570,3,FALSE)</f>
      </c>
      <c r="D15" t="str">
        <f>VLOOKUP($A15,Szamlaszamok!$A14:F1570,4,FALSE)</f>
      </c>
      <c r="E15" t="str">
        <f>DATE(YEAR(D15),MONTH(D15),DAY(D15))</f>
      </c>
      <c r="F15" t="str">
        <f>CONCATENATE(C15,E15)</f>
      </c>
      <c r="G15" t="str">
        <f>TIMEVALUE(D15)</f>
      </c>
      <c r="H15" t="str">
        <f>COUNTIF(Szamlaszamok!A:A,A15)</f>
      </c>
      <c r="I15" t="str">
        <f>SUMIFS(Szamlaszamok!E:E,Szamlaszamok!A:A,Szamlaszamok_nonduplicate!A15)</f>
      </c>
    </row>
    <row r="16" spans="1:9">
      <c r="A16" t="s">
        <v>64</v>
      </c>
      <c r="B16" t="str">
        <f>VLOOKUP($A16,Szamlaszamok!$A15:F1571,2,FALSE)</f>
      </c>
      <c r="C16" t="str">
        <f>VLOOKUP($A16,Szamlaszamok!$A15:F1571,3,FALSE)</f>
      </c>
      <c r="D16" t="str">
        <f>VLOOKUP($A16,Szamlaszamok!$A15:F1571,4,FALSE)</f>
      </c>
      <c r="E16" t="str">
        <f>DATE(YEAR(D16),MONTH(D16),DAY(D16))</f>
      </c>
      <c r="F16" t="str">
        <f>CONCATENATE(C16,E16)</f>
      </c>
      <c r="G16" t="str">
        <f>TIMEVALUE(D16)</f>
      </c>
      <c r="H16" t="str">
        <f>COUNTIF(Szamlaszamok!A:A,A16)</f>
      </c>
      <c r="I16" t="str">
        <f>SUMIFS(Szamlaszamok!E:E,Szamlaszamok!A:A,Szamlaszamok_nonduplicate!A16)</f>
      </c>
    </row>
    <row r="17" spans="1:9">
      <c r="A17" t="s">
        <v>67</v>
      </c>
      <c r="B17" t="str">
        <f>VLOOKUP($A17,Szamlaszamok!$A16:F1572,2,FALSE)</f>
      </c>
      <c r="C17" t="str">
        <f>VLOOKUP($A17,Szamlaszamok!$A16:F1572,3,FALSE)</f>
      </c>
      <c r="D17" t="str">
        <f>VLOOKUP($A17,Szamlaszamok!$A16:F1572,4,FALSE)</f>
      </c>
      <c r="E17" t="str">
        <f>DATE(YEAR(D17),MONTH(D17),DAY(D17))</f>
      </c>
      <c r="F17" t="str">
        <f>CONCATENATE(C17,E17)</f>
      </c>
      <c r="G17" t="str">
        <f>TIMEVALUE(D17)</f>
      </c>
      <c r="H17" t="str">
        <f>COUNTIF(Szamlaszamok!A:A,A17)</f>
      </c>
      <c r="I17" t="str">
        <f>SUMIFS(Szamlaszamok!E:E,Szamlaszamok!A:A,Szamlaszamok_nonduplicate!A17)</f>
      </c>
    </row>
    <row r="18" spans="1:9">
      <c r="A18" t="s">
        <v>72</v>
      </c>
      <c r="B18" t="str">
        <f>VLOOKUP($A18,Szamlaszamok!$A17:F1573,2,FALSE)</f>
      </c>
      <c r="C18" t="str">
        <f>VLOOKUP($A18,Szamlaszamok!$A17:F1573,3,FALSE)</f>
      </c>
      <c r="D18" t="str">
        <f>VLOOKUP($A18,Szamlaszamok!$A17:F1573,4,FALSE)</f>
      </c>
      <c r="E18" t="str">
        <f>DATE(YEAR(D18),MONTH(D18),DAY(D18))</f>
      </c>
      <c r="F18" t="str">
        <f>CONCATENATE(C18,E18)</f>
      </c>
      <c r="G18" t="str">
        <f>TIMEVALUE(D18)</f>
      </c>
      <c r="H18" t="str">
        <f>COUNTIF(Szamlaszamok!A:A,A18)</f>
      </c>
      <c r="I18" t="str">
        <f>SUMIFS(Szamlaszamok!E:E,Szamlaszamok!A:A,Szamlaszamok_nonduplicate!A18)</f>
      </c>
    </row>
    <row r="19" spans="1:9">
      <c r="A19" t="s">
        <v>76</v>
      </c>
      <c r="B19" t="str">
        <f>VLOOKUP($A19,Szamlaszamok!$A18:F1574,2,FALSE)</f>
      </c>
      <c r="C19" t="str">
        <f>VLOOKUP($A19,Szamlaszamok!$A18:F1574,3,FALSE)</f>
      </c>
      <c r="D19" t="str">
        <f>VLOOKUP($A19,Szamlaszamok!$A18:F1574,4,FALSE)</f>
      </c>
      <c r="E19" t="str">
        <f>DATE(YEAR(D19),MONTH(D19),DAY(D19))</f>
      </c>
      <c r="F19" t="str">
        <f>CONCATENATE(C19,E19)</f>
      </c>
      <c r="G19" t="str">
        <f>TIMEVALUE(D19)</f>
      </c>
      <c r="H19" t="str">
        <f>COUNTIF(Szamlaszamok!A:A,A19)</f>
      </c>
      <c r="I19" t="str">
        <f>SUMIFS(Szamlaszamok!E:E,Szamlaszamok!A:A,Szamlaszamok_nonduplicate!A19)</f>
      </c>
    </row>
    <row r="20" spans="1:9">
      <c r="A20" t="s">
        <v>80</v>
      </c>
      <c r="B20" t="str">
        <f>VLOOKUP($A20,Szamlaszamok!$A19:F1575,2,FALSE)</f>
      </c>
      <c r="C20" t="str">
        <f>VLOOKUP($A20,Szamlaszamok!$A19:F1575,3,FALSE)</f>
      </c>
      <c r="D20" t="str">
        <f>VLOOKUP($A20,Szamlaszamok!$A19:F1575,4,FALSE)</f>
      </c>
      <c r="E20" t="str">
        <f>DATE(YEAR(D20),MONTH(D20),DAY(D20))</f>
      </c>
      <c r="F20" t="str">
        <f>CONCATENATE(C20,E20)</f>
      </c>
      <c r="G20" t="str">
        <f>TIMEVALUE(D20)</f>
      </c>
      <c r="H20" t="str">
        <f>COUNTIF(Szamlaszamok!A:A,A20)</f>
      </c>
      <c r="I20" t="str">
        <f>SUMIFS(Szamlaszamok!E:E,Szamlaszamok!A:A,Szamlaszamok_nonduplicate!A20)</f>
      </c>
    </row>
    <row r="21" spans="1:9">
      <c r="A21" t="s">
        <v>84</v>
      </c>
      <c r="B21" t="str">
        <f>VLOOKUP($A21,Szamlaszamok!$A20:F1576,2,FALSE)</f>
      </c>
      <c r="C21" t="str">
        <f>VLOOKUP($A21,Szamlaszamok!$A20:F1576,3,FALSE)</f>
      </c>
      <c r="D21" t="str">
        <f>VLOOKUP($A21,Szamlaszamok!$A20:F1576,4,FALSE)</f>
      </c>
      <c r="E21" t="str">
        <f>DATE(YEAR(D21),MONTH(D21),DAY(D21))</f>
      </c>
      <c r="F21" t="str">
        <f>CONCATENATE(C21,E21)</f>
      </c>
      <c r="G21" t="str">
        <f>TIMEVALUE(D21)</f>
      </c>
      <c r="H21" t="str">
        <f>COUNTIF(Szamlaszamok!A:A,A21)</f>
      </c>
      <c r="I21" t="str">
        <f>SUMIFS(Szamlaszamok!E:E,Szamlaszamok!A:A,Szamlaszamok_nonduplicate!A21)</f>
      </c>
    </row>
    <row r="22" spans="1:9">
      <c r="A22" t="s">
        <v>88</v>
      </c>
      <c r="B22" t="str">
        <f>VLOOKUP($A22,Szamlaszamok!$A21:F1577,2,FALSE)</f>
      </c>
      <c r="C22" t="str">
        <f>VLOOKUP($A22,Szamlaszamok!$A21:F1577,3,FALSE)</f>
      </c>
      <c r="D22" t="str">
        <f>VLOOKUP($A22,Szamlaszamok!$A21:F1577,4,FALSE)</f>
      </c>
      <c r="E22" t="str">
        <f>DATE(YEAR(D22),MONTH(D22),DAY(D22))</f>
      </c>
      <c r="F22" t="str">
        <f>CONCATENATE(C22,E22)</f>
      </c>
      <c r="G22" t="str">
        <f>TIMEVALUE(D22)</f>
      </c>
      <c r="H22" t="str">
        <f>COUNTIF(Szamlaszamok!A:A,A22)</f>
      </c>
      <c r="I22" t="str">
        <f>SUMIFS(Szamlaszamok!E:E,Szamlaszamok!A:A,Szamlaszamok_nonduplicate!A22)</f>
      </c>
    </row>
    <row r="23" spans="1:9">
      <c r="A23" t="s">
        <v>92</v>
      </c>
      <c r="B23" t="str">
        <f>VLOOKUP($A23,Szamlaszamok!$A22:F1578,2,FALSE)</f>
      </c>
      <c r="C23" t="str">
        <f>VLOOKUP($A23,Szamlaszamok!$A22:F1578,3,FALSE)</f>
      </c>
      <c r="D23" t="str">
        <f>VLOOKUP($A23,Szamlaszamok!$A22:F1578,4,FALSE)</f>
      </c>
      <c r="E23" t="str">
        <f>DATE(YEAR(D23),MONTH(D23),DAY(D23))</f>
      </c>
      <c r="F23" t="str">
        <f>CONCATENATE(C23,E23)</f>
      </c>
      <c r="G23" t="str">
        <f>TIMEVALUE(D23)</f>
      </c>
      <c r="H23" t="str">
        <f>COUNTIF(Szamlaszamok!A:A,A23)</f>
      </c>
      <c r="I23" t="str">
        <f>SUMIFS(Szamlaszamok!E:E,Szamlaszamok!A:A,Szamlaszamok_nonduplicate!A23)</f>
      </c>
    </row>
    <row r="24" spans="1:9">
      <c r="A24" t="s">
        <v>97</v>
      </c>
      <c r="B24" t="str">
        <f>VLOOKUP($A24,Szamlaszamok!$A23:F1579,2,FALSE)</f>
      </c>
      <c r="C24" t="str">
        <f>VLOOKUP($A24,Szamlaszamok!$A23:F1579,3,FALSE)</f>
      </c>
      <c r="D24" t="str">
        <f>VLOOKUP($A24,Szamlaszamok!$A23:F1579,4,FALSE)</f>
      </c>
      <c r="E24" t="str">
        <f>DATE(YEAR(D24),MONTH(D24),DAY(D24))</f>
      </c>
      <c r="F24" t="str">
        <f>CONCATENATE(C24,E24)</f>
      </c>
      <c r="G24" t="str">
        <f>TIMEVALUE(D24)</f>
      </c>
      <c r="H24" t="str">
        <f>COUNTIF(Szamlaszamok!A:A,A24)</f>
      </c>
      <c r="I24" t="str">
        <f>SUMIFS(Szamlaszamok!E:E,Szamlaszamok!A:A,Szamlaszamok_nonduplicate!A24)</f>
      </c>
    </row>
    <row r="25" spans="1:9">
      <c r="A25" t="s">
        <v>101</v>
      </c>
      <c r="B25" t="str">
        <f>VLOOKUP($A25,Szamlaszamok!$A24:F1580,2,FALSE)</f>
      </c>
      <c r="C25" t="str">
        <f>VLOOKUP($A25,Szamlaszamok!$A24:F1580,3,FALSE)</f>
      </c>
      <c r="D25" t="str">
        <f>VLOOKUP($A25,Szamlaszamok!$A24:F1580,4,FALSE)</f>
      </c>
      <c r="E25" t="str">
        <f>DATE(YEAR(D25),MONTH(D25),DAY(D25))</f>
      </c>
      <c r="F25" t="str">
        <f>CONCATENATE(C25,E25)</f>
      </c>
      <c r="G25" t="str">
        <f>TIMEVALUE(D25)</f>
      </c>
      <c r="H25" t="str">
        <f>COUNTIF(Szamlaszamok!A:A,A25)</f>
      </c>
      <c r="I25" t="str">
        <f>SUMIFS(Szamlaszamok!E:E,Szamlaszamok!A:A,Szamlaszamok_nonduplicate!A25)</f>
      </c>
    </row>
    <row r="26" spans="1:9">
      <c r="A26" t="s">
        <v>105</v>
      </c>
      <c r="B26" t="str">
        <f>VLOOKUP($A26,Szamlaszamok!$A25:F1581,2,FALSE)</f>
      </c>
      <c r="C26" t="str">
        <f>VLOOKUP($A26,Szamlaszamok!$A25:F1581,3,FALSE)</f>
      </c>
      <c r="D26" t="str">
        <f>VLOOKUP($A26,Szamlaszamok!$A25:F1581,4,FALSE)</f>
      </c>
      <c r="E26" t="str">
        <f>DATE(YEAR(D26),MONTH(D26),DAY(D26))</f>
      </c>
      <c r="F26" t="str">
        <f>CONCATENATE(C26,E26)</f>
      </c>
      <c r="G26" t="str">
        <f>TIMEVALUE(D26)</f>
      </c>
      <c r="H26" t="str">
        <f>COUNTIF(Szamlaszamok!A:A,A26)</f>
      </c>
      <c r="I26" t="str">
        <f>SUMIFS(Szamlaszamok!E:E,Szamlaszamok!A:A,Szamlaszamok_nonduplicate!A26)</f>
      </c>
    </row>
    <row r="27" spans="1:9">
      <c r="A27" t="s">
        <v>109</v>
      </c>
      <c r="B27" t="str">
        <f>VLOOKUP($A27,Szamlaszamok!$A26:F1582,2,FALSE)</f>
      </c>
      <c r="C27" t="str">
        <f>VLOOKUP($A27,Szamlaszamok!$A26:F1582,3,FALSE)</f>
      </c>
      <c r="D27" t="str">
        <f>VLOOKUP($A27,Szamlaszamok!$A26:F1582,4,FALSE)</f>
      </c>
      <c r="E27" t="str">
        <f>DATE(YEAR(D27),MONTH(D27),DAY(D27))</f>
      </c>
      <c r="F27" t="str">
        <f>CONCATENATE(C27,E27)</f>
      </c>
      <c r="G27" t="str">
        <f>TIMEVALUE(D27)</f>
      </c>
      <c r="H27" t="str">
        <f>COUNTIF(Szamlaszamok!A:A,A27)</f>
      </c>
      <c r="I27" t="str">
        <f>SUMIFS(Szamlaszamok!E:E,Szamlaszamok!A:A,Szamlaszamok_nonduplicate!A27)</f>
      </c>
    </row>
    <row r="28" spans="1:9">
      <c r="A28" t="s">
        <v>113</v>
      </c>
      <c r="B28" t="str">
        <f>VLOOKUP($A28,Szamlaszamok!$A27:F1583,2,FALSE)</f>
      </c>
      <c r="C28" t="str">
        <f>VLOOKUP($A28,Szamlaszamok!$A27:F1583,3,FALSE)</f>
      </c>
      <c r="D28" t="str">
        <f>VLOOKUP($A28,Szamlaszamok!$A27:F1583,4,FALSE)</f>
      </c>
      <c r="E28" t="str">
        <f>DATE(YEAR(D28),MONTH(D28),DAY(D28))</f>
      </c>
      <c r="F28" t="str">
        <f>CONCATENATE(C28,E28)</f>
      </c>
      <c r="G28" t="str">
        <f>TIMEVALUE(D28)</f>
      </c>
      <c r="H28" t="str">
        <f>COUNTIF(Szamlaszamok!A:A,A28)</f>
      </c>
      <c r="I28" t="str">
        <f>SUMIFS(Szamlaszamok!E:E,Szamlaszamok!A:A,Szamlaszamok_nonduplicate!A28)</f>
      </c>
    </row>
    <row r="29" spans="1:9">
      <c r="A29" t="s">
        <v>118</v>
      </c>
      <c r="B29" t="str">
        <f>VLOOKUP($A29,Szamlaszamok!$A28:F1584,2,FALSE)</f>
      </c>
      <c r="C29" t="str">
        <f>VLOOKUP($A29,Szamlaszamok!$A28:F1584,3,FALSE)</f>
      </c>
      <c r="D29" t="str">
        <f>VLOOKUP($A29,Szamlaszamok!$A28:F1584,4,FALSE)</f>
      </c>
      <c r="E29" t="str">
        <f>DATE(YEAR(D29),MONTH(D29),DAY(D29))</f>
      </c>
      <c r="F29" t="str">
        <f>CONCATENATE(C29,E29)</f>
      </c>
      <c r="G29" t="str">
        <f>TIMEVALUE(D29)</f>
      </c>
      <c r="H29" t="str">
        <f>COUNTIF(Szamlaszamok!A:A,A29)</f>
      </c>
      <c r="I29" t="str">
        <f>SUMIFS(Szamlaszamok!E:E,Szamlaszamok!A:A,Szamlaszamok_nonduplicate!A29)</f>
      </c>
    </row>
    <row r="30" spans="1:9">
      <c r="A30" t="s">
        <v>122</v>
      </c>
      <c r="B30" t="str">
        <f>VLOOKUP($A30,Szamlaszamok!$A29:F1585,2,FALSE)</f>
      </c>
      <c r="C30" t="str">
        <f>VLOOKUP($A30,Szamlaszamok!$A29:F1585,3,FALSE)</f>
      </c>
      <c r="D30" t="str">
        <f>VLOOKUP($A30,Szamlaszamok!$A29:F1585,4,FALSE)</f>
      </c>
      <c r="E30" t="str">
        <f>DATE(YEAR(D30),MONTH(D30),DAY(D30))</f>
      </c>
      <c r="F30" t="str">
        <f>CONCATENATE(C30,E30)</f>
      </c>
      <c r="G30" t="str">
        <f>TIMEVALUE(D30)</f>
      </c>
      <c r="H30" t="str">
        <f>COUNTIF(Szamlaszamok!A:A,A30)</f>
      </c>
      <c r="I30" t="str">
        <f>SUMIFS(Szamlaszamok!E:E,Szamlaszamok!A:A,Szamlaszamok_nonduplicate!A30)</f>
      </c>
    </row>
    <row r="31" spans="1:9">
      <c r="A31" t="s">
        <v>126</v>
      </c>
      <c r="B31" t="str">
        <f>VLOOKUP($A31,Szamlaszamok!$A30:F1586,2,FALSE)</f>
      </c>
      <c r="C31" t="str">
        <f>VLOOKUP($A31,Szamlaszamok!$A30:F1586,3,FALSE)</f>
      </c>
      <c r="D31" t="str">
        <f>VLOOKUP($A31,Szamlaszamok!$A30:F1586,4,FALSE)</f>
      </c>
      <c r="E31" t="str">
        <f>DATE(YEAR(D31),MONTH(D31),DAY(D31))</f>
      </c>
      <c r="F31" t="str">
        <f>CONCATENATE(C31,E31)</f>
      </c>
      <c r="G31" t="str">
        <f>TIMEVALUE(D31)</f>
      </c>
      <c r="H31" t="str">
        <f>COUNTIF(Szamlaszamok!A:A,A31)</f>
      </c>
      <c r="I31" t="str">
        <f>SUMIFS(Szamlaszamok!E:E,Szamlaszamok!A:A,Szamlaszamok_nonduplicate!A31)</f>
      </c>
    </row>
    <row r="32" spans="1:9">
      <c r="A32" t="s">
        <v>130</v>
      </c>
      <c r="B32" t="str">
        <f>VLOOKUP($A32,Szamlaszamok!$A31:F1587,2,FALSE)</f>
      </c>
      <c r="C32" t="str">
        <f>VLOOKUP($A32,Szamlaszamok!$A31:F1587,3,FALSE)</f>
      </c>
      <c r="D32" t="str">
        <f>VLOOKUP($A32,Szamlaszamok!$A31:F1587,4,FALSE)</f>
      </c>
      <c r="E32" t="str">
        <f>DATE(YEAR(D32),MONTH(D32),DAY(D32))</f>
      </c>
      <c r="F32" t="str">
        <f>CONCATENATE(C32,E32)</f>
      </c>
      <c r="G32" t="str">
        <f>TIMEVALUE(D32)</f>
      </c>
      <c r="H32" t="str">
        <f>COUNTIF(Szamlaszamok!A:A,A32)</f>
      </c>
      <c r="I32" t="str">
        <f>SUMIFS(Szamlaszamok!E:E,Szamlaszamok!A:A,Szamlaszamok_nonduplicate!A32)</f>
      </c>
    </row>
    <row r="33" spans="1:9">
      <c r="A33" t="s">
        <v>135</v>
      </c>
      <c r="B33" t="str">
        <f>VLOOKUP($A33,Szamlaszamok!$A32:F1588,2,FALSE)</f>
      </c>
      <c r="C33" t="str">
        <f>VLOOKUP($A33,Szamlaszamok!$A32:F1588,3,FALSE)</f>
      </c>
      <c r="D33" t="str">
        <f>VLOOKUP($A33,Szamlaszamok!$A32:F1588,4,FALSE)</f>
      </c>
      <c r="E33" t="str">
        <f>DATE(YEAR(D33),MONTH(D33),DAY(D33))</f>
      </c>
      <c r="F33" t="str">
        <f>CONCATENATE(C33,E33)</f>
      </c>
      <c r="G33" t="str">
        <f>TIMEVALUE(D33)</f>
      </c>
      <c r="H33" t="str">
        <f>COUNTIF(Szamlaszamok!A:A,A33)</f>
      </c>
      <c r="I33" t="str">
        <f>SUMIFS(Szamlaszamok!E:E,Szamlaszamok!A:A,Szamlaszamok_nonduplicate!A33)</f>
      </c>
    </row>
    <row r="34" spans="1:9">
      <c r="A34" t="s">
        <v>139</v>
      </c>
      <c r="B34" t="str">
        <f>VLOOKUP($A34,Szamlaszamok!$A33:F1589,2,FALSE)</f>
      </c>
      <c r="C34" t="str">
        <f>VLOOKUP($A34,Szamlaszamok!$A33:F1589,3,FALSE)</f>
      </c>
      <c r="D34" t="str">
        <f>VLOOKUP($A34,Szamlaszamok!$A33:F1589,4,FALSE)</f>
      </c>
      <c r="E34" t="str">
        <f>DATE(YEAR(D34),MONTH(D34),DAY(D34))</f>
      </c>
      <c r="F34" t="str">
        <f>CONCATENATE(C34,E34)</f>
      </c>
      <c r="G34" t="str">
        <f>TIMEVALUE(D34)</f>
      </c>
      <c r="H34" t="str">
        <f>COUNTIF(Szamlaszamok!A:A,A34)</f>
      </c>
      <c r="I34" t="str">
        <f>SUMIFS(Szamlaszamok!E:E,Szamlaszamok!A:A,Szamlaszamok_nonduplicate!A34)</f>
      </c>
    </row>
    <row r="35" spans="1:9">
      <c r="A35" t="s">
        <v>143</v>
      </c>
      <c r="B35" t="str">
        <f>VLOOKUP($A35,Szamlaszamok!$A34:F1590,2,FALSE)</f>
      </c>
      <c r="C35" t="str">
        <f>VLOOKUP($A35,Szamlaszamok!$A34:F1590,3,FALSE)</f>
      </c>
      <c r="D35" t="str">
        <f>VLOOKUP($A35,Szamlaszamok!$A34:F1590,4,FALSE)</f>
      </c>
      <c r="E35" t="str">
        <f>DATE(YEAR(D35),MONTH(D35),DAY(D35))</f>
      </c>
      <c r="F35" t="str">
        <f>CONCATENATE(C35,E35)</f>
      </c>
      <c r="G35" t="str">
        <f>TIMEVALUE(D35)</f>
      </c>
      <c r="H35" t="str">
        <f>COUNTIF(Szamlaszamok!A:A,A35)</f>
      </c>
      <c r="I35" t="str">
        <f>SUMIFS(Szamlaszamok!E:E,Szamlaszamok!A:A,Szamlaszamok_nonduplicate!A35)</f>
      </c>
    </row>
    <row r="36" spans="1:9">
      <c r="A36" t="s">
        <v>147</v>
      </c>
      <c r="B36" t="str">
        <f>VLOOKUP($A36,Szamlaszamok!$A35:F1591,2,FALSE)</f>
      </c>
      <c r="C36" t="str">
        <f>VLOOKUP($A36,Szamlaszamok!$A35:F1591,3,FALSE)</f>
      </c>
      <c r="D36" t="str">
        <f>VLOOKUP($A36,Szamlaszamok!$A35:F1591,4,FALSE)</f>
      </c>
      <c r="E36" t="str">
        <f>DATE(YEAR(D36),MONTH(D36),DAY(D36))</f>
      </c>
      <c r="F36" t="str">
        <f>CONCATENATE(C36,E36)</f>
      </c>
      <c r="G36" t="str">
        <f>TIMEVALUE(D36)</f>
      </c>
      <c r="H36" t="str">
        <f>COUNTIF(Szamlaszamok!A:A,A36)</f>
      </c>
      <c r="I36" t="str">
        <f>SUMIFS(Szamlaszamok!E:E,Szamlaszamok!A:A,Szamlaszamok_nonduplicate!A36)</f>
      </c>
    </row>
    <row r="37" spans="1:9">
      <c r="A37" t="s">
        <v>151</v>
      </c>
      <c r="B37" t="str">
        <f>VLOOKUP($A37,Szamlaszamok!$A36:F1592,2,FALSE)</f>
      </c>
      <c r="C37" t="str">
        <f>VLOOKUP($A37,Szamlaszamok!$A36:F1592,3,FALSE)</f>
      </c>
      <c r="D37" t="str">
        <f>VLOOKUP($A37,Szamlaszamok!$A36:F1592,4,FALSE)</f>
      </c>
      <c r="E37" t="str">
        <f>DATE(YEAR(D37),MONTH(D37),DAY(D37))</f>
      </c>
      <c r="F37" t="str">
        <f>CONCATENATE(C37,E37)</f>
      </c>
      <c r="G37" t="str">
        <f>TIMEVALUE(D37)</f>
      </c>
      <c r="H37" t="str">
        <f>COUNTIF(Szamlaszamok!A:A,A37)</f>
      </c>
      <c r="I37" t="str">
        <f>SUMIFS(Szamlaszamok!E:E,Szamlaszamok!A:A,Szamlaszamok_nonduplicate!A37)</f>
      </c>
    </row>
    <row r="38" spans="1:9">
      <c r="A38" t="s">
        <v>155</v>
      </c>
      <c r="B38" t="str">
        <f>VLOOKUP($A38,Szamlaszamok!$A37:F1593,2,FALSE)</f>
      </c>
      <c r="C38" t="str">
        <f>VLOOKUP($A38,Szamlaszamok!$A37:F1593,3,FALSE)</f>
      </c>
      <c r="D38" t="str">
        <f>VLOOKUP($A38,Szamlaszamok!$A37:F1593,4,FALSE)</f>
      </c>
      <c r="E38" t="str">
        <f>DATE(YEAR(D38),MONTH(D38),DAY(D38))</f>
      </c>
      <c r="F38" t="str">
        <f>CONCATENATE(C38,E38)</f>
      </c>
      <c r="G38" t="str">
        <f>TIMEVALUE(D38)</f>
      </c>
      <c r="H38" t="str">
        <f>COUNTIF(Szamlaszamok!A:A,A38)</f>
      </c>
      <c r="I38" t="str">
        <f>SUMIFS(Szamlaszamok!E:E,Szamlaszamok!A:A,Szamlaszamok_nonduplicate!A38)</f>
      </c>
    </row>
    <row r="39" spans="1:9">
      <c r="A39" t="s">
        <v>159</v>
      </c>
      <c r="B39" t="str">
        <f>VLOOKUP($A39,Szamlaszamok!$A38:F1594,2,FALSE)</f>
      </c>
      <c r="C39" t="str">
        <f>VLOOKUP($A39,Szamlaszamok!$A38:F1594,3,FALSE)</f>
      </c>
      <c r="D39" t="str">
        <f>VLOOKUP($A39,Szamlaszamok!$A38:F1594,4,FALSE)</f>
      </c>
      <c r="E39" t="str">
        <f>DATE(YEAR(D39),MONTH(D39),DAY(D39))</f>
      </c>
      <c r="F39" t="str">
        <f>CONCATENATE(C39,E39)</f>
      </c>
      <c r="G39" t="str">
        <f>TIMEVALUE(D39)</f>
      </c>
      <c r="H39" t="str">
        <f>COUNTIF(Szamlaszamok!A:A,A39)</f>
      </c>
      <c r="I39" t="str">
        <f>SUMIFS(Szamlaszamok!E:E,Szamlaszamok!A:A,Szamlaszamok_nonduplicate!A39)</f>
      </c>
    </row>
    <row r="40" spans="1:9">
      <c r="A40" t="s">
        <v>163</v>
      </c>
      <c r="B40" t="str">
        <f>VLOOKUP($A40,Szamlaszamok!$A39:F1595,2,FALSE)</f>
      </c>
      <c r="C40" t="str">
        <f>VLOOKUP($A40,Szamlaszamok!$A39:F1595,3,FALSE)</f>
      </c>
      <c r="D40" t="str">
        <f>VLOOKUP($A40,Szamlaszamok!$A39:F1595,4,FALSE)</f>
      </c>
      <c r="E40" t="str">
        <f>DATE(YEAR(D40),MONTH(D40),DAY(D40))</f>
      </c>
      <c r="F40" t="str">
        <f>CONCATENATE(C40,E40)</f>
      </c>
      <c r="G40" t="str">
        <f>TIMEVALUE(D40)</f>
      </c>
      <c r="H40" t="str">
        <f>COUNTIF(Szamlaszamok!A:A,A40)</f>
      </c>
      <c r="I40" t="str">
        <f>SUMIFS(Szamlaszamok!E:E,Szamlaszamok!A:A,Szamlaszamok_nonduplicate!A40)</f>
      </c>
    </row>
    <row r="41" spans="1:9">
      <c r="A41" t="s">
        <v>167</v>
      </c>
      <c r="B41" t="str">
        <f>VLOOKUP($A41,Szamlaszamok!$A40:F1596,2,FALSE)</f>
      </c>
      <c r="C41" t="str">
        <f>VLOOKUP($A41,Szamlaszamok!$A40:F1596,3,FALSE)</f>
      </c>
      <c r="D41" t="str">
        <f>VLOOKUP($A41,Szamlaszamok!$A40:F1596,4,FALSE)</f>
      </c>
      <c r="E41" t="str">
        <f>DATE(YEAR(D41),MONTH(D41),DAY(D41))</f>
      </c>
      <c r="F41" t="str">
        <f>CONCATENATE(C41,E41)</f>
      </c>
      <c r="G41" t="str">
        <f>TIMEVALUE(D41)</f>
      </c>
      <c r="H41" t="str">
        <f>COUNTIF(Szamlaszamok!A:A,A41)</f>
      </c>
      <c r="I41" t="str">
        <f>SUMIFS(Szamlaszamok!E:E,Szamlaszamok!A:A,Szamlaszamok_nonduplicate!A41)</f>
      </c>
    </row>
    <row r="42" spans="1:9">
      <c r="A42" t="s">
        <v>171</v>
      </c>
      <c r="B42" t="str">
        <f>VLOOKUP($A42,Szamlaszamok!$A41:F1597,2,FALSE)</f>
      </c>
      <c r="C42" t="str">
        <f>VLOOKUP($A42,Szamlaszamok!$A41:F1597,3,FALSE)</f>
      </c>
      <c r="D42" t="str">
        <f>VLOOKUP($A42,Szamlaszamok!$A41:F1597,4,FALSE)</f>
      </c>
      <c r="E42" t="str">
        <f>DATE(YEAR(D42),MONTH(D42),DAY(D42))</f>
      </c>
      <c r="F42" t="str">
        <f>CONCATENATE(C42,E42)</f>
      </c>
      <c r="G42" t="str">
        <f>TIMEVALUE(D42)</f>
      </c>
      <c r="H42" t="str">
        <f>COUNTIF(Szamlaszamok!A:A,A42)</f>
      </c>
      <c r="I42" t="str">
        <f>SUMIFS(Szamlaszamok!E:E,Szamlaszamok!A:A,Szamlaszamok_nonduplicate!A42)</f>
      </c>
    </row>
    <row r="43" spans="1:9">
      <c r="A43" t="s">
        <v>176</v>
      </c>
      <c r="B43" t="str">
        <f>VLOOKUP($A43,Szamlaszamok!$A42:F1598,2,FALSE)</f>
      </c>
      <c r="C43" t="str">
        <f>VLOOKUP($A43,Szamlaszamok!$A42:F1598,3,FALSE)</f>
      </c>
      <c r="D43" t="str">
        <f>VLOOKUP($A43,Szamlaszamok!$A42:F1598,4,FALSE)</f>
      </c>
      <c r="E43" t="str">
        <f>DATE(YEAR(D43),MONTH(D43),DAY(D43))</f>
      </c>
      <c r="F43" t="str">
        <f>CONCATENATE(C43,E43)</f>
      </c>
      <c r="G43" t="str">
        <f>TIMEVALUE(D43)</f>
      </c>
      <c r="H43" t="str">
        <f>COUNTIF(Szamlaszamok!A:A,A43)</f>
      </c>
      <c r="I43" t="str">
        <f>SUMIFS(Szamlaszamok!E:E,Szamlaszamok!A:A,Szamlaszamok_nonduplicate!A43)</f>
      </c>
    </row>
    <row r="44" spans="1:9">
      <c r="A44" t="s">
        <v>181</v>
      </c>
      <c r="B44" t="str">
        <f>VLOOKUP($A44,Szamlaszamok!$A43:F1599,2,FALSE)</f>
      </c>
      <c r="C44" t="str">
        <f>VLOOKUP($A44,Szamlaszamok!$A43:F1599,3,FALSE)</f>
      </c>
      <c r="D44" t="str">
        <f>VLOOKUP($A44,Szamlaszamok!$A43:F1599,4,FALSE)</f>
      </c>
      <c r="E44" t="str">
        <f>DATE(YEAR(D44),MONTH(D44),DAY(D44))</f>
      </c>
      <c r="F44" t="str">
        <f>CONCATENATE(C44,E44)</f>
      </c>
      <c r="G44" t="str">
        <f>TIMEVALUE(D44)</f>
      </c>
      <c r="H44" t="str">
        <f>COUNTIF(Szamlaszamok!A:A,A44)</f>
      </c>
      <c r="I44" t="str">
        <f>SUMIFS(Szamlaszamok!E:E,Szamlaszamok!A:A,Szamlaszamok_nonduplicate!A44)</f>
      </c>
    </row>
    <row r="45" spans="1:9">
      <c r="A45" t="s">
        <v>186</v>
      </c>
      <c r="B45" t="str">
        <f>VLOOKUP($A45,Szamlaszamok!$A44:F1600,2,FALSE)</f>
      </c>
      <c r="C45" t="str">
        <f>VLOOKUP($A45,Szamlaszamok!$A44:F1600,3,FALSE)</f>
      </c>
      <c r="D45" t="str">
        <f>VLOOKUP($A45,Szamlaszamok!$A44:F1600,4,FALSE)</f>
      </c>
      <c r="E45" t="str">
        <f>DATE(YEAR(D45),MONTH(D45),DAY(D45))</f>
      </c>
      <c r="F45" t="str">
        <f>CONCATENATE(C45,E45)</f>
      </c>
      <c r="G45" t="str">
        <f>TIMEVALUE(D45)</f>
      </c>
      <c r="H45" t="str">
        <f>COUNTIF(Szamlaszamok!A:A,A45)</f>
      </c>
      <c r="I45" t="str">
        <f>SUMIFS(Szamlaszamok!E:E,Szamlaszamok!A:A,Szamlaszamok_nonduplicate!A45)</f>
      </c>
    </row>
    <row r="46" spans="1:9">
      <c r="A46" t="s">
        <v>190</v>
      </c>
      <c r="B46" t="str">
        <f>VLOOKUP($A46,Szamlaszamok!$A45:F1601,2,FALSE)</f>
      </c>
      <c r="C46" t="str">
        <f>VLOOKUP($A46,Szamlaszamok!$A45:F1601,3,FALSE)</f>
      </c>
      <c r="D46" t="str">
        <f>VLOOKUP($A46,Szamlaszamok!$A45:F1601,4,FALSE)</f>
      </c>
      <c r="E46" t="str">
        <f>DATE(YEAR(D46),MONTH(D46),DAY(D46))</f>
      </c>
      <c r="F46" t="str">
        <f>CONCATENATE(C46,E46)</f>
      </c>
      <c r="G46" t="str">
        <f>TIMEVALUE(D46)</f>
      </c>
      <c r="H46" t="str">
        <f>COUNTIF(Szamlaszamok!A:A,A46)</f>
      </c>
      <c r="I46" t="str">
        <f>SUMIFS(Szamlaszamok!E:E,Szamlaszamok!A:A,Szamlaszamok_nonduplicate!A46)</f>
      </c>
    </row>
    <row r="47" spans="1:9">
      <c r="A47" t="s">
        <v>194</v>
      </c>
      <c r="B47" t="str">
        <f>VLOOKUP($A47,Szamlaszamok!$A46:F1602,2,FALSE)</f>
      </c>
      <c r="C47" t="str">
        <f>VLOOKUP($A47,Szamlaszamok!$A46:F1602,3,FALSE)</f>
      </c>
      <c r="D47" t="str">
        <f>VLOOKUP($A47,Szamlaszamok!$A46:F1602,4,FALSE)</f>
      </c>
      <c r="E47" t="str">
        <f>DATE(YEAR(D47),MONTH(D47),DAY(D47))</f>
      </c>
      <c r="F47" t="str">
        <f>CONCATENATE(C47,E47)</f>
      </c>
      <c r="G47" t="str">
        <f>TIMEVALUE(D47)</f>
      </c>
      <c r="H47" t="str">
        <f>COUNTIF(Szamlaszamok!A:A,A47)</f>
      </c>
      <c r="I47" t="str">
        <f>SUMIFS(Szamlaszamok!E:E,Szamlaszamok!A:A,Szamlaszamok_nonduplicate!A47)</f>
      </c>
    </row>
    <row r="48" spans="1:9">
      <c r="A48" t="s">
        <v>197</v>
      </c>
      <c r="B48" t="str">
        <f>VLOOKUP($A48,Szamlaszamok!$A47:F1603,2,FALSE)</f>
      </c>
      <c r="C48" t="str">
        <f>VLOOKUP($A48,Szamlaszamok!$A47:F1603,3,FALSE)</f>
      </c>
      <c r="D48" t="str">
        <f>VLOOKUP($A48,Szamlaszamok!$A47:F1603,4,FALSE)</f>
      </c>
      <c r="E48" t="str">
        <f>DATE(YEAR(D48),MONTH(D48),DAY(D48))</f>
      </c>
      <c r="F48" t="str">
        <f>CONCATENATE(C48,E48)</f>
      </c>
      <c r="G48" t="str">
        <f>TIMEVALUE(D48)</f>
      </c>
      <c r="H48" t="str">
        <f>COUNTIF(Szamlaszamok!A:A,A48)</f>
      </c>
      <c r="I48" t="str">
        <f>SUMIFS(Szamlaszamok!E:E,Szamlaszamok!A:A,Szamlaszamok_nonduplicate!A48)</f>
      </c>
    </row>
    <row r="49" spans="1:9">
      <c r="A49" t="s">
        <v>202</v>
      </c>
      <c r="B49" t="str">
        <f>VLOOKUP($A49,Szamlaszamok!$A48:F1604,2,FALSE)</f>
      </c>
      <c r="C49" t="str">
        <f>VLOOKUP($A49,Szamlaszamok!$A48:F1604,3,FALSE)</f>
      </c>
      <c r="D49" t="str">
        <f>VLOOKUP($A49,Szamlaszamok!$A48:F1604,4,FALSE)</f>
      </c>
      <c r="E49" t="str">
        <f>DATE(YEAR(D49),MONTH(D49),DAY(D49))</f>
      </c>
      <c r="F49" t="str">
        <f>CONCATENATE(C49,E49)</f>
      </c>
      <c r="G49" t="str">
        <f>TIMEVALUE(D49)</f>
      </c>
      <c r="H49" t="str">
        <f>COUNTIF(Szamlaszamok!A:A,A49)</f>
      </c>
      <c r="I49" t="str">
        <f>SUMIFS(Szamlaszamok!E:E,Szamlaszamok!A:A,Szamlaszamok_nonduplicate!A49)</f>
      </c>
    </row>
    <row r="50" spans="1:9">
      <c r="A50" t="s">
        <v>206</v>
      </c>
      <c r="B50" t="str">
        <f>VLOOKUP($A50,Szamlaszamok!$A49:F1605,2,FALSE)</f>
      </c>
      <c r="C50" t="str">
        <f>VLOOKUP($A50,Szamlaszamok!$A49:F1605,3,FALSE)</f>
      </c>
      <c r="D50" t="str">
        <f>VLOOKUP($A50,Szamlaszamok!$A49:F1605,4,FALSE)</f>
      </c>
      <c r="E50" t="str">
        <f>DATE(YEAR(D50),MONTH(D50),DAY(D50))</f>
      </c>
      <c r="F50" t="str">
        <f>CONCATENATE(C50,E50)</f>
      </c>
      <c r="G50" t="str">
        <f>TIMEVALUE(D50)</f>
      </c>
      <c r="H50" t="str">
        <f>COUNTIF(Szamlaszamok!A:A,A50)</f>
      </c>
      <c r="I50" t="str">
        <f>SUMIFS(Szamlaszamok!E:E,Szamlaszamok!A:A,Szamlaszamok_nonduplicate!A50)</f>
      </c>
    </row>
    <row r="51" spans="1:9">
      <c r="A51" t="s">
        <v>211</v>
      </c>
      <c r="B51" t="str">
        <f>VLOOKUP($A51,Szamlaszamok!$A50:F1606,2,FALSE)</f>
      </c>
      <c r="C51" t="str">
        <f>VLOOKUP($A51,Szamlaszamok!$A50:F1606,3,FALSE)</f>
      </c>
      <c r="D51" t="str">
        <f>VLOOKUP($A51,Szamlaszamok!$A50:F1606,4,FALSE)</f>
      </c>
      <c r="E51" t="str">
        <f>DATE(YEAR(D51),MONTH(D51),DAY(D51))</f>
      </c>
      <c r="F51" t="str">
        <f>CONCATENATE(C51,E51)</f>
      </c>
      <c r="G51" t="str">
        <f>TIMEVALUE(D51)</f>
      </c>
      <c r="H51" t="str">
        <f>COUNTIF(Szamlaszamok!A:A,A51)</f>
      </c>
      <c r="I51" t="str">
        <f>SUMIFS(Szamlaszamok!E:E,Szamlaszamok!A:A,Szamlaszamok_nonduplicate!A51)</f>
      </c>
    </row>
    <row r="52" spans="1:9">
      <c r="A52" t="s">
        <v>215</v>
      </c>
      <c r="B52" t="str">
        <f>VLOOKUP($A52,Szamlaszamok!$A51:F1607,2,FALSE)</f>
      </c>
      <c r="C52" t="str">
        <f>VLOOKUP($A52,Szamlaszamok!$A51:F1607,3,FALSE)</f>
      </c>
      <c r="D52" t="str">
        <f>VLOOKUP($A52,Szamlaszamok!$A51:F1607,4,FALSE)</f>
      </c>
      <c r="E52" t="str">
        <f>DATE(YEAR(D52),MONTH(D52),DAY(D52))</f>
      </c>
      <c r="F52" t="str">
        <f>CONCATENATE(C52,E52)</f>
      </c>
      <c r="G52" t="str">
        <f>TIMEVALUE(D52)</f>
      </c>
      <c r="H52" t="str">
        <f>COUNTIF(Szamlaszamok!A:A,A52)</f>
      </c>
      <c r="I52" t="str">
        <f>SUMIFS(Szamlaszamok!E:E,Szamlaszamok!A:A,Szamlaszamok_nonduplicate!A52)</f>
      </c>
    </row>
    <row r="53" spans="1:9">
      <c r="A53" t="s">
        <v>219</v>
      </c>
      <c r="B53" t="str">
        <f>VLOOKUP($A53,Szamlaszamok!$A52:F1608,2,FALSE)</f>
      </c>
      <c r="C53" t="str">
        <f>VLOOKUP($A53,Szamlaszamok!$A52:F1608,3,FALSE)</f>
      </c>
      <c r="D53" t="str">
        <f>VLOOKUP($A53,Szamlaszamok!$A52:F1608,4,FALSE)</f>
      </c>
      <c r="E53" t="str">
        <f>DATE(YEAR(D53),MONTH(D53),DAY(D53))</f>
      </c>
      <c r="F53" t="str">
        <f>CONCATENATE(C53,E53)</f>
      </c>
      <c r="G53" t="str">
        <f>TIMEVALUE(D53)</f>
      </c>
      <c r="H53" t="str">
        <f>COUNTIF(Szamlaszamok!A:A,A53)</f>
      </c>
      <c r="I53" t="str">
        <f>SUMIFS(Szamlaszamok!E:E,Szamlaszamok!A:A,Szamlaszamok_nonduplicate!A53)</f>
      </c>
    </row>
    <row r="54" spans="1:9">
      <c r="A54" t="s">
        <v>226</v>
      </c>
      <c r="B54" t="str">
        <f>VLOOKUP($A54,Szamlaszamok!$A53:F1609,2,FALSE)</f>
      </c>
      <c r="C54" t="str">
        <f>VLOOKUP($A54,Szamlaszamok!$A53:F1609,3,FALSE)</f>
      </c>
      <c r="D54" t="str">
        <f>VLOOKUP($A54,Szamlaszamok!$A53:F1609,4,FALSE)</f>
      </c>
      <c r="E54" t="str">
        <f>DATE(YEAR(D54),MONTH(D54),DAY(D54))</f>
      </c>
      <c r="F54" t="str">
        <f>CONCATENATE(C54,E54)</f>
      </c>
      <c r="G54" t="str">
        <f>TIMEVALUE(D54)</f>
      </c>
      <c r="H54" t="str">
        <f>COUNTIF(Szamlaszamok!A:A,A54)</f>
      </c>
      <c r="I54" t="str">
        <f>SUMIFS(Szamlaszamok!E:E,Szamlaszamok!A:A,Szamlaszamok_nonduplicate!A54)</f>
      </c>
    </row>
    <row r="55" spans="1:9">
      <c r="A55" t="s">
        <v>230</v>
      </c>
      <c r="B55" t="str">
        <f>VLOOKUP($A55,Szamlaszamok!$A54:F1610,2,FALSE)</f>
      </c>
      <c r="C55" t="str">
        <f>VLOOKUP($A55,Szamlaszamok!$A54:F1610,3,FALSE)</f>
      </c>
      <c r="D55" t="str">
        <f>VLOOKUP($A55,Szamlaszamok!$A54:F1610,4,FALSE)</f>
      </c>
      <c r="E55" t="str">
        <f>DATE(YEAR(D55),MONTH(D55),DAY(D55))</f>
      </c>
      <c r="F55" t="str">
        <f>CONCATENATE(C55,E55)</f>
      </c>
      <c r="G55" t="str">
        <f>TIMEVALUE(D55)</f>
      </c>
      <c r="H55" t="str">
        <f>COUNTIF(Szamlaszamok!A:A,A55)</f>
      </c>
      <c r="I55" t="str">
        <f>SUMIFS(Szamlaszamok!E:E,Szamlaszamok!A:A,Szamlaszamok_nonduplicate!A55)</f>
      </c>
    </row>
    <row r="56" spans="1:9">
      <c r="A56" t="s">
        <v>234</v>
      </c>
      <c r="B56" t="str">
        <f>VLOOKUP($A56,Szamlaszamok!$A55:F1611,2,FALSE)</f>
      </c>
      <c r="C56" t="str">
        <f>VLOOKUP($A56,Szamlaszamok!$A55:F1611,3,FALSE)</f>
      </c>
      <c r="D56" t="str">
        <f>VLOOKUP($A56,Szamlaszamok!$A55:F1611,4,FALSE)</f>
      </c>
      <c r="E56" t="str">
        <f>DATE(YEAR(D56),MONTH(D56),DAY(D56))</f>
      </c>
      <c r="F56" t="str">
        <f>CONCATENATE(C56,E56)</f>
      </c>
      <c r="G56" t="str">
        <f>TIMEVALUE(D56)</f>
      </c>
      <c r="H56" t="str">
        <f>COUNTIF(Szamlaszamok!A:A,A56)</f>
      </c>
      <c r="I56" t="str">
        <f>SUMIFS(Szamlaszamok!E:E,Szamlaszamok!A:A,Szamlaszamok_nonduplicate!A56)</f>
      </c>
    </row>
    <row r="57" spans="1:9">
      <c r="A57" t="s">
        <v>238</v>
      </c>
      <c r="B57" t="str">
        <f>VLOOKUP($A57,Szamlaszamok!$A56:F1612,2,FALSE)</f>
      </c>
      <c r="C57" t="str">
        <f>VLOOKUP($A57,Szamlaszamok!$A56:F1612,3,FALSE)</f>
      </c>
      <c r="D57" t="str">
        <f>VLOOKUP($A57,Szamlaszamok!$A56:F1612,4,FALSE)</f>
      </c>
      <c r="E57" t="str">
        <f>DATE(YEAR(D57),MONTH(D57),DAY(D57))</f>
      </c>
      <c r="F57" t="str">
        <f>CONCATENATE(C57,E57)</f>
      </c>
      <c r="G57" t="str">
        <f>TIMEVALUE(D57)</f>
      </c>
      <c r="H57" t="str">
        <f>COUNTIF(Szamlaszamok!A:A,A57)</f>
      </c>
      <c r="I57" t="str">
        <f>SUMIFS(Szamlaszamok!E:E,Szamlaszamok!A:A,Szamlaszamok_nonduplicate!A57)</f>
      </c>
    </row>
    <row r="58" spans="1:9">
      <c r="A58" t="s">
        <v>242</v>
      </c>
      <c r="B58" t="str">
        <f>VLOOKUP($A58,Szamlaszamok!$A57:F1613,2,FALSE)</f>
      </c>
      <c r="C58" t="str">
        <f>VLOOKUP($A58,Szamlaszamok!$A57:F1613,3,FALSE)</f>
      </c>
      <c r="D58" t="str">
        <f>VLOOKUP($A58,Szamlaszamok!$A57:F1613,4,FALSE)</f>
      </c>
      <c r="E58" t="str">
        <f>DATE(YEAR(D58),MONTH(D58),DAY(D58))</f>
      </c>
      <c r="F58" t="str">
        <f>CONCATENATE(C58,E58)</f>
      </c>
      <c r="G58" t="str">
        <f>TIMEVALUE(D58)</f>
      </c>
      <c r="H58" t="str">
        <f>COUNTIF(Szamlaszamok!A:A,A58)</f>
      </c>
      <c r="I58" t="str">
        <f>SUMIFS(Szamlaszamok!E:E,Szamlaszamok!A:A,Szamlaszamok_nonduplicate!A58)</f>
      </c>
    </row>
    <row r="59" spans="1:9">
      <c r="A59" t="s">
        <v>246</v>
      </c>
      <c r="B59" t="str">
        <f>VLOOKUP($A59,Szamlaszamok!$A58:F1614,2,FALSE)</f>
      </c>
      <c r="C59" t="str">
        <f>VLOOKUP($A59,Szamlaszamok!$A58:F1614,3,FALSE)</f>
      </c>
      <c r="D59" t="str">
        <f>VLOOKUP($A59,Szamlaszamok!$A58:F1614,4,FALSE)</f>
      </c>
      <c r="E59" t="str">
        <f>DATE(YEAR(D59),MONTH(D59),DAY(D59))</f>
      </c>
      <c r="F59" t="str">
        <f>CONCATENATE(C59,E59)</f>
      </c>
      <c r="G59" t="str">
        <f>TIMEVALUE(D59)</f>
      </c>
      <c r="H59" t="str">
        <f>COUNTIF(Szamlaszamok!A:A,A59)</f>
      </c>
      <c r="I59" t="str">
        <f>SUMIFS(Szamlaszamok!E:E,Szamlaszamok!A:A,Szamlaszamok_nonduplicate!A59)</f>
      </c>
    </row>
    <row r="60" spans="1:9">
      <c r="A60" t="s">
        <v>250</v>
      </c>
      <c r="B60" t="str">
        <f>VLOOKUP($A60,Szamlaszamok!$A59:F1615,2,FALSE)</f>
      </c>
      <c r="C60" t="str">
        <f>VLOOKUP($A60,Szamlaszamok!$A59:F1615,3,FALSE)</f>
      </c>
      <c r="D60" t="str">
        <f>VLOOKUP($A60,Szamlaszamok!$A59:F1615,4,FALSE)</f>
      </c>
      <c r="E60" t="str">
        <f>DATE(YEAR(D60),MONTH(D60),DAY(D60))</f>
      </c>
      <c r="F60" t="str">
        <f>CONCATENATE(C60,E60)</f>
      </c>
      <c r="G60" t="str">
        <f>TIMEVALUE(D60)</f>
      </c>
      <c r="H60" t="str">
        <f>COUNTIF(Szamlaszamok!A:A,A60)</f>
      </c>
      <c r="I60" t="str">
        <f>SUMIFS(Szamlaszamok!E:E,Szamlaszamok!A:A,Szamlaszamok_nonduplicate!A60)</f>
      </c>
    </row>
    <row r="61" spans="1:9">
      <c r="A61" t="s">
        <v>255</v>
      </c>
      <c r="B61" t="str">
        <f>VLOOKUP($A61,Szamlaszamok!$A60:F1616,2,FALSE)</f>
      </c>
      <c r="C61" t="str">
        <f>VLOOKUP($A61,Szamlaszamok!$A60:F1616,3,FALSE)</f>
      </c>
      <c r="D61" t="str">
        <f>VLOOKUP($A61,Szamlaszamok!$A60:F1616,4,FALSE)</f>
      </c>
      <c r="E61" t="str">
        <f>DATE(YEAR(D61),MONTH(D61),DAY(D61))</f>
      </c>
      <c r="F61" t="str">
        <f>CONCATENATE(C61,E61)</f>
      </c>
      <c r="G61" t="str">
        <f>TIMEVALUE(D61)</f>
      </c>
      <c r="H61" t="str">
        <f>COUNTIF(Szamlaszamok!A:A,A61)</f>
      </c>
      <c r="I61" t="str">
        <f>SUMIFS(Szamlaszamok!E:E,Szamlaszamok!A:A,Szamlaszamok_nonduplicate!A61)</f>
      </c>
    </row>
    <row r="62" spans="1:9">
      <c r="A62" t="s">
        <v>260</v>
      </c>
      <c r="B62" t="str">
        <f>VLOOKUP($A62,Szamlaszamok!$A61:F1617,2,FALSE)</f>
      </c>
      <c r="C62" t="str">
        <f>VLOOKUP($A62,Szamlaszamok!$A61:F1617,3,FALSE)</f>
      </c>
      <c r="D62" t="str">
        <f>VLOOKUP($A62,Szamlaszamok!$A61:F1617,4,FALSE)</f>
      </c>
      <c r="E62" t="str">
        <f>DATE(YEAR(D62),MONTH(D62),DAY(D62))</f>
      </c>
      <c r="F62" t="str">
        <f>CONCATENATE(C62,E62)</f>
      </c>
      <c r="G62" t="str">
        <f>TIMEVALUE(D62)</f>
      </c>
      <c r="H62" t="str">
        <f>COUNTIF(Szamlaszamok!A:A,A62)</f>
      </c>
      <c r="I62" t="str">
        <f>SUMIFS(Szamlaszamok!E:E,Szamlaszamok!A:A,Szamlaszamok_nonduplicate!A62)</f>
      </c>
    </row>
    <row r="63" spans="1:9">
      <c r="A63" t="s">
        <v>264</v>
      </c>
      <c r="B63" t="str">
        <f>VLOOKUP($A63,Szamlaszamok!$A62:F1618,2,FALSE)</f>
      </c>
      <c r="C63" t="str">
        <f>VLOOKUP($A63,Szamlaszamok!$A62:F1618,3,FALSE)</f>
      </c>
      <c r="D63" t="str">
        <f>VLOOKUP($A63,Szamlaszamok!$A62:F1618,4,FALSE)</f>
      </c>
      <c r="E63" t="str">
        <f>DATE(YEAR(D63),MONTH(D63),DAY(D63))</f>
      </c>
      <c r="F63" t="str">
        <f>CONCATENATE(C63,E63)</f>
      </c>
      <c r="G63" t="str">
        <f>TIMEVALUE(D63)</f>
      </c>
      <c r="H63" t="str">
        <f>COUNTIF(Szamlaszamok!A:A,A63)</f>
      </c>
      <c r="I63" t="str">
        <f>SUMIFS(Szamlaszamok!E:E,Szamlaszamok!A:A,Szamlaszamok_nonduplicate!A63)</f>
      </c>
    </row>
    <row r="64" spans="1:9">
      <c r="A64" t="s">
        <v>268</v>
      </c>
      <c r="B64" t="str">
        <f>VLOOKUP($A64,Szamlaszamok!$A63:F1619,2,FALSE)</f>
      </c>
      <c r="C64" t="str">
        <f>VLOOKUP($A64,Szamlaszamok!$A63:F1619,3,FALSE)</f>
      </c>
      <c r="D64" t="str">
        <f>VLOOKUP($A64,Szamlaszamok!$A63:F1619,4,FALSE)</f>
      </c>
      <c r="E64" t="str">
        <f>DATE(YEAR(D64),MONTH(D64),DAY(D64))</f>
      </c>
      <c r="F64" t="str">
        <f>CONCATENATE(C64,E64)</f>
      </c>
      <c r="G64" t="str">
        <f>TIMEVALUE(D64)</f>
      </c>
      <c r="H64" t="str">
        <f>COUNTIF(Szamlaszamok!A:A,A64)</f>
      </c>
      <c r="I64" t="str">
        <f>SUMIFS(Szamlaszamok!E:E,Szamlaszamok!A:A,Szamlaszamok_nonduplicate!A64)</f>
      </c>
    </row>
    <row r="65" spans="1:9">
      <c r="A65" t="s">
        <v>272</v>
      </c>
      <c r="B65" t="str">
        <f>VLOOKUP($A65,Szamlaszamok!$A64:F1620,2,FALSE)</f>
      </c>
      <c r="C65" t="str">
        <f>VLOOKUP($A65,Szamlaszamok!$A64:F1620,3,FALSE)</f>
      </c>
      <c r="D65" t="str">
        <f>VLOOKUP($A65,Szamlaszamok!$A64:F1620,4,FALSE)</f>
      </c>
      <c r="E65" t="str">
        <f>DATE(YEAR(D65),MONTH(D65),DAY(D65))</f>
      </c>
      <c r="F65" t="str">
        <f>CONCATENATE(C65,E65)</f>
      </c>
      <c r="G65" t="str">
        <f>TIMEVALUE(D65)</f>
      </c>
      <c r="H65" t="str">
        <f>COUNTIF(Szamlaszamok!A:A,A65)</f>
      </c>
      <c r="I65" t="str">
        <f>SUMIFS(Szamlaszamok!E:E,Szamlaszamok!A:A,Szamlaszamok_nonduplicate!A65)</f>
      </c>
    </row>
    <row r="66" spans="1:9">
      <c r="A66" t="s">
        <v>276</v>
      </c>
      <c r="B66" t="str">
        <f>VLOOKUP($A66,Szamlaszamok!$A65:F1621,2,FALSE)</f>
      </c>
      <c r="C66" t="str">
        <f>VLOOKUP($A66,Szamlaszamok!$A65:F1621,3,FALSE)</f>
      </c>
      <c r="D66" t="str">
        <f>VLOOKUP($A66,Szamlaszamok!$A65:F1621,4,FALSE)</f>
      </c>
      <c r="E66" t="str">
        <f>DATE(YEAR(D66),MONTH(D66),DAY(D66))</f>
      </c>
      <c r="F66" t="str">
        <f>CONCATENATE(C66,E66)</f>
      </c>
      <c r="G66" t="str">
        <f>TIMEVALUE(D66)</f>
      </c>
      <c r="H66" t="str">
        <f>COUNTIF(Szamlaszamok!A:A,A66)</f>
      </c>
      <c r="I66" t="str">
        <f>SUMIFS(Szamlaszamok!E:E,Szamlaszamok!A:A,Szamlaszamok_nonduplicate!A66)</f>
      </c>
    </row>
    <row r="67" spans="1:9">
      <c r="A67" t="s">
        <v>280</v>
      </c>
      <c r="B67" t="str">
        <f>VLOOKUP($A67,Szamlaszamok!$A66:F1622,2,FALSE)</f>
      </c>
      <c r="C67" t="str">
        <f>VLOOKUP($A67,Szamlaszamok!$A66:F1622,3,FALSE)</f>
      </c>
      <c r="D67" t="str">
        <f>VLOOKUP($A67,Szamlaszamok!$A66:F1622,4,FALSE)</f>
      </c>
      <c r="E67" t="str">
        <f>DATE(YEAR(D67),MONTH(D67),DAY(D67))</f>
      </c>
      <c r="F67" t="str">
        <f>CONCATENATE(C67,E67)</f>
      </c>
      <c r="G67" t="str">
        <f>TIMEVALUE(D67)</f>
      </c>
      <c r="H67" t="str">
        <f>COUNTIF(Szamlaszamok!A:A,A67)</f>
      </c>
      <c r="I67" t="str">
        <f>SUMIFS(Szamlaszamok!E:E,Szamlaszamok!A:A,Szamlaszamok_nonduplicate!A67)</f>
      </c>
    </row>
    <row r="68" spans="1:9">
      <c r="A68" t="s">
        <v>288</v>
      </c>
      <c r="B68" t="str">
        <f>VLOOKUP($A68,Szamlaszamok!$A67:F1623,2,FALSE)</f>
      </c>
      <c r="C68" t="str">
        <f>VLOOKUP($A68,Szamlaszamok!$A67:F1623,3,FALSE)</f>
      </c>
      <c r="D68" t="str">
        <f>VLOOKUP($A68,Szamlaszamok!$A67:F1623,4,FALSE)</f>
      </c>
      <c r="E68" t="str">
        <f>DATE(YEAR(D68),MONTH(D68),DAY(D68))</f>
      </c>
      <c r="F68" t="str">
        <f>CONCATENATE(C68,E68)</f>
      </c>
      <c r="G68" t="str">
        <f>TIMEVALUE(D68)</f>
      </c>
      <c r="H68" t="str">
        <f>COUNTIF(Szamlaszamok!A:A,A68)</f>
      </c>
      <c r="I68" t="str">
        <f>SUMIFS(Szamlaszamok!E:E,Szamlaszamok!A:A,Szamlaszamok_nonduplicate!A68)</f>
      </c>
    </row>
    <row r="69" spans="1:9">
      <c r="A69" t="s">
        <v>291</v>
      </c>
      <c r="B69" t="str">
        <f>VLOOKUP($A69,Szamlaszamok!$A68:F1624,2,FALSE)</f>
      </c>
      <c r="C69" t="str">
        <f>VLOOKUP($A69,Szamlaszamok!$A68:F1624,3,FALSE)</f>
      </c>
      <c r="D69" t="str">
        <f>VLOOKUP($A69,Szamlaszamok!$A68:F1624,4,FALSE)</f>
      </c>
      <c r="E69" t="str">
        <f>DATE(YEAR(D69),MONTH(D69),DAY(D69))</f>
      </c>
      <c r="F69" t="str">
        <f>CONCATENATE(C69,E69)</f>
      </c>
      <c r="G69" t="str">
        <f>TIMEVALUE(D69)</f>
      </c>
      <c r="H69" t="str">
        <f>COUNTIF(Szamlaszamok!A:A,A69)</f>
      </c>
      <c r="I69" t="str">
        <f>SUMIFS(Szamlaszamok!E:E,Szamlaszamok!A:A,Szamlaszamok_nonduplicate!A69)</f>
      </c>
    </row>
    <row r="70" spans="1:9">
      <c r="A70" t="s">
        <v>295</v>
      </c>
      <c r="B70" t="str">
        <f>VLOOKUP($A70,Szamlaszamok!$A69:F1625,2,FALSE)</f>
      </c>
      <c r="C70" t="str">
        <f>VLOOKUP($A70,Szamlaszamok!$A69:F1625,3,FALSE)</f>
      </c>
      <c r="D70" t="str">
        <f>VLOOKUP($A70,Szamlaszamok!$A69:F1625,4,FALSE)</f>
      </c>
      <c r="E70" t="str">
        <f>DATE(YEAR(D70),MONTH(D70),DAY(D70))</f>
      </c>
      <c r="F70" t="str">
        <f>CONCATENATE(C70,E70)</f>
      </c>
      <c r="G70" t="str">
        <f>TIMEVALUE(D70)</f>
      </c>
      <c r="H70" t="str">
        <f>COUNTIF(Szamlaszamok!A:A,A70)</f>
      </c>
      <c r="I70" t="str">
        <f>SUMIFS(Szamlaszamok!E:E,Szamlaszamok!A:A,Szamlaszamok_nonduplicate!A70)</f>
      </c>
    </row>
    <row r="71" spans="1:9">
      <c r="A71" t="s">
        <v>300</v>
      </c>
      <c r="B71" t="str">
        <f>VLOOKUP($A71,Szamlaszamok!$A70:F1626,2,FALSE)</f>
      </c>
      <c r="C71" t="str">
        <f>VLOOKUP($A71,Szamlaszamok!$A70:F1626,3,FALSE)</f>
      </c>
      <c r="D71" t="str">
        <f>VLOOKUP($A71,Szamlaszamok!$A70:F1626,4,FALSE)</f>
      </c>
      <c r="E71" t="str">
        <f>DATE(YEAR(D71),MONTH(D71),DAY(D71))</f>
      </c>
      <c r="F71" t="str">
        <f>CONCATENATE(C71,E71)</f>
      </c>
      <c r="G71" t="str">
        <f>TIMEVALUE(D71)</f>
      </c>
      <c r="H71" t="str">
        <f>COUNTIF(Szamlaszamok!A:A,A71)</f>
      </c>
      <c r="I71" t="str">
        <f>SUMIFS(Szamlaszamok!E:E,Szamlaszamok!A:A,Szamlaszamok_nonduplicate!A71)</f>
      </c>
    </row>
    <row r="72" spans="1:9">
      <c r="A72" t="s">
        <v>305</v>
      </c>
      <c r="B72" t="str">
        <f>VLOOKUP($A72,Szamlaszamok!$A71:F1627,2,FALSE)</f>
      </c>
      <c r="C72" t="str">
        <f>VLOOKUP($A72,Szamlaszamok!$A71:F1627,3,FALSE)</f>
      </c>
      <c r="D72" t="str">
        <f>VLOOKUP($A72,Szamlaszamok!$A71:F1627,4,FALSE)</f>
      </c>
      <c r="E72" t="str">
        <f>DATE(YEAR(D72),MONTH(D72),DAY(D72))</f>
      </c>
      <c r="F72" t="str">
        <f>CONCATENATE(C72,E72)</f>
      </c>
      <c r="G72" t="str">
        <f>TIMEVALUE(D72)</f>
      </c>
      <c r="H72" t="str">
        <f>COUNTIF(Szamlaszamok!A:A,A72)</f>
      </c>
      <c r="I72" t="str">
        <f>SUMIFS(Szamlaszamok!E:E,Szamlaszamok!A:A,Szamlaszamok_nonduplicate!A72)</f>
      </c>
    </row>
    <row r="73" spans="1:9">
      <c r="A73" t="s">
        <v>310</v>
      </c>
      <c r="B73" t="str">
        <f>VLOOKUP($A73,Szamlaszamok!$A72:F1628,2,FALSE)</f>
      </c>
      <c r="C73" t="str">
        <f>VLOOKUP($A73,Szamlaszamok!$A72:F1628,3,FALSE)</f>
      </c>
      <c r="D73" t="str">
        <f>VLOOKUP($A73,Szamlaszamok!$A72:F1628,4,FALSE)</f>
      </c>
      <c r="E73" t="str">
        <f>DATE(YEAR(D73),MONTH(D73),DAY(D73))</f>
      </c>
      <c r="F73" t="str">
        <f>CONCATENATE(C73,E73)</f>
      </c>
      <c r="G73" t="str">
        <f>TIMEVALUE(D73)</f>
      </c>
      <c r="H73" t="str">
        <f>COUNTIF(Szamlaszamok!A:A,A73)</f>
      </c>
      <c r="I73" t="str">
        <f>SUMIFS(Szamlaszamok!E:E,Szamlaszamok!A:A,Szamlaszamok_nonduplicate!A73)</f>
      </c>
    </row>
    <row r="74" spans="1:9">
      <c r="A74" t="s">
        <v>314</v>
      </c>
      <c r="B74" t="str">
        <f>VLOOKUP($A74,Szamlaszamok!$A73:F1629,2,FALSE)</f>
      </c>
      <c r="C74" t="str">
        <f>VLOOKUP($A74,Szamlaszamok!$A73:F1629,3,FALSE)</f>
      </c>
      <c r="D74" t="str">
        <f>VLOOKUP($A74,Szamlaszamok!$A73:F1629,4,FALSE)</f>
      </c>
      <c r="E74" t="str">
        <f>DATE(YEAR(D74),MONTH(D74),DAY(D74))</f>
      </c>
      <c r="F74" t="str">
        <f>CONCATENATE(C74,E74)</f>
      </c>
      <c r="G74" t="str">
        <f>TIMEVALUE(D74)</f>
      </c>
      <c r="H74" t="str">
        <f>COUNTIF(Szamlaszamok!A:A,A74)</f>
      </c>
      <c r="I74" t="str">
        <f>SUMIFS(Szamlaszamok!E:E,Szamlaszamok!A:A,Szamlaszamok_nonduplicate!A74)</f>
      </c>
    </row>
    <row r="75" spans="1:9">
      <c r="A75" t="s">
        <v>318</v>
      </c>
      <c r="B75" t="str">
        <f>VLOOKUP($A75,Szamlaszamok!$A74:F1630,2,FALSE)</f>
      </c>
      <c r="C75" t="str">
        <f>VLOOKUP($A75,Szamlaszamok!$A74:F1630,3,FALSE)</f>
      </c>
      <c r="D75" t="str">
        <f>VLOOKUP($A75,Szamlaszamok!$A74:F1630,4,FALSE)</f>
      </c>
      <c r="E75" t="str">
        <f>DATE(YEAR(D75),MONTH(D75),DAY(D75))</f>
      </c>
      <c r="F75" t="str">
        <f>CONCATENATE(C75,E75)</f>
      </c>
      <c r="G75" t="str">
        <f>TIMEVALUE(D75)</f>
      </c>
      <c r="H75" t="str">
        <f>COUNTIF(Szamlaszamok!A:A,A75)</f>
      </c>
      <c r="I75" t="str">
        <f>SUMIFS(Szamlaszamok!E:E,Szamlaszamok!A:A,Szamlaszamok_nonduplicate!A75)</f>
      </c>
    </row>
    <row r="76" spans="1:9">
      <c r="A76" t="s">
        <v>322</v>
      </c>
      <c r="B76" t="str">
        <f>VLOOKUP($A76,Szamlaszamok!$A75:F1631,2,FALSE)</f>
      </c>
      <c r="C76" t="str">
        <f>VLOOKUP($A76,Szamlaszamok!$A75:F1631,3,FALSE)</f>
      </c>
      <c r="D76" t="str">
        <f>VLOOKUP($A76,Szamlaszamok!$A75:F1631,4,FALSE)</f>
      </c>
      <c r="E76" t="str">
        <f>DATE(YEAR(D76),MONTH(D76),DAY(D76))</f>
      </c>
      <c r="F76" t="str">
        <f>CONCATENATE(C76,E76)</f>
      </c>
      <c r="G76" t="str">
        <f>TIMEVALUE(D76)</f>
      </c>
      <c r="H76" t="str">
        <f>COUNTIF(Szamlaszamok!A:A,A76)</f>
      </c>
      <c r="I76" t="str">
        <f>SUMIFS(Szamlaszamok!E:E,Szamlaszamok!A:A,Szamlaszamok_nonduplicate!A76)</f>
      </c>
    </row>
    <row r="77" spans="1:9">
      <c r="A77" t="s">
        <v>324</v>
      </c>
      <c r="B77" t="str">
        <f>VLOOKUP($A77,Szamlaszamok!$A76:F1632,2,FALSE)</f>
      </c>
      <c r="C77" t="str">
        <f>VLOOKUP($A77,Szamlaszamok!$A76:F1632,3,FALSE)</f>
      </c>
      <c r="D77" t="str">
        <f>VLOOKUP($A77,Szamlaszamok!$A76:F1632,4,FALSE)</f>
      </c>
      <c r="E77" t="str">
        <f>DATE(YEAR(D77),MONTH(D77),DAY(D77))</f>
      </c>
      <c r="F77" t="str">
        <f>CONCATENATE(C77,E77)</f>
      </c>
      <c r="G77" t="str">
        <f>TIMEVALUE(D77)</f>
      </c>
      <c r="H77" t="str">
        <f>COUNTIF(Szamlaszamok!A:A,A77)</f>
      </c>
      <c r="I77" t="str">
        <f>SUMIFS(Szamlaszamok!E:E,Szamlaszamok!A:A,Szamlaszamok_nonduplicate!A77)</f>
      </c>
    </row>
    <row r="78" spans="1:9">
      <c r="A78" t="s">
        <v>326</v>
      </c>
      <c r="B78" t="str">
        <f>VLOOKUP($A78,Szamlaszamok!$A77:F1633,2,FALSE)</f>
      </c>
      <c r="C78" t="str">
        <f>VLOOKUP($A78,Szamlaszamok!$A77:F1633,3,FALSE)</f>
      </c>
      <c r="D78" t="str">
        <f>VLOOKUP($A78,Szamlaszamok!$A77:F1633,4,FALSE)</f>
      </c>
      <c r="E78" t="str">
        <f>DATE(YEAR(D78),MONTH(D78),DAY(D78))</f>
      </c>
      <c r="F78" t="str">
        <f>CONCATENATE(C78,E78)</f>
      </c>
      <c r="G78" t="str">
        <f>TIMEVALUE(D78)</f>
      </c>
      <c r="H78" t="str">
        <f>COUNTIF(Szamlaszamok!A:A,A78)</f>
      </c>
      <c r="I78" t="str">
        <f>SUMIFS(Szamlaszamok!E:E,Szamlaszamok!A:A,Szamlaszamok_nonduplicate!A78)</f>
      </c>
    </row>
    <row r="79" spans="1:9">
      <c r="A79" t="s">
        <v>328</v>
      </c>
      <c r="B79" t="str">
        <f>VLOOKUP($A79,Szamlaszamok!$A78:F1634,2,FALSE)</f>
      </c>
      <c r="C79" t="str">
        <f>VLOOKUP($A79,Szamlaszamok!$A78:F1634,3,FALSE)</f>
      </c>
      <c r="D79" t="str">
        <f>VLOOKUP($A79,Szamlaszamok!$A78:F1634,4,FALSE)</f>
      </c>
      <c r="E79" t="str">
        <f>DATE(YEAR(D79),MONTH(D79),DAY(D79))</f>
      </c>
      <c r="F79" t="str">
        <f>CONCATENATE(C79,E79)</f>
      </c>
      <c r="G79" t="str">
        <f>TIMEVALUE(D79)</f>
      </c>
      <c r="H79" t="str">
        <f>COUNTIF(Szamlaszamok!A:A,A79)</f>
      </c>
      <c r="I79" t="str">
        <f>SUMIFS(Szamlaszamok!E:E,Szamlaszamok!A:A,Szamlaszamok_nonduplicate!A79)</f>
      </c>
    </row>
    <row r="80" spans="1:9">
      <c r="A80" t="s">
        <v>329</v>
      </c>
      <c r="B80" t="str">
        <f>VLOOKUP($A80,Szamlaszamok!$A79:F1635,2,FALSE)</f>
      </c>
      <c r="C80" t="str">
        <f>VLOOKUP($A80,Szamlaszamok!$A79:F1635,3,FALSE)</f>
      </c>
      <c r="D80" t="str">
        <f>VLOOKUP($A80,Szamlaszamok!$A79:F1635,4,FALSE)</f>
      </c>
      <c r="E80" t="str">
        <f>DATE(YEAR(D80),MONTH(D80),DAY(D80))</f>
      </c>
      <c r="F80" t="str">
        <f>CONCATENATE(C80,E80)</f>
      </c>
      <c r="G80" t="str">
        <f>TIMEVALUE(D80)</f>
      </c>
      <c r="H80" t="str">
        <f>COUNTIF(Szamlaszamok!A:A,A80)</f>
      </c>
      <c r="I80" t="str">
        <f>SUMIFS(Szamlaszamok!E:E,Szamlaszamok!A:A,Szamlaszamok_nonduplicate!A80)</f>
      </c>
    </row>
    <row r="81" spans="1:9">
      <c r="A81" t="s">
        <v>332</v>
      </c>
      <c r="B81" t="str">
        <f>VLOOKUP($A81,Szamlaszamok!$A80:F1636,2,FALSE)</f>
      </c>
      <c r="C81" t="str">
        <f>VLOOKUP($A81,Szamlaszamok!$A80:F1636,3,FALSE)</f>
      </c>
      <c r="D81" t="str">
        <f>VLOOKUP($A81,Szamlaszamok!$A80:F1636,4,FALSE)</f>
      </c>
      <c r="E81" t="str">
        <f>DATE(YEAR(D81),MONTH(D81),DAY(D81))</f>
      </c>
      <c r="F81" t="str">
        <f>CONCATENATE(C81,E81)</f>
      </c>
      <c r="G81" t="str">
        <f>TIMEVALUE(D81)</f>
      </c>
      <c r="H81" t="str">
        <f>COUNTIF(Szamlaszamok!A:A,A81)</f>
      </c>
      <c r="I81" t="str">
        <f>SUMIFS(Szamlaszamok!E:E,Szamlaszamok!A:A,Szamlaszamok_nonduplicate!A81)</f>
      </c>
    </row>
    <row r="82" spans="1:9">
      <c r="A82" t="s">
        <v>336</v>
      </c>
      <c r="B82" t="str">
        <f>VLOOKUP($A82,Szamlaszamok!$A81:F1637,2,FALSE)</f>
      </c>
      <c r="C82" t="str">
        <f>VLOOKUP($A82,Szamlaszamok!$A81:F1637,3,FALSE)</f>
      </c>
      <c r="D82" t="str">
        <f>VLOOKUP($A82,Szamlaszamok!$A81:F1637,4,FALSE)</f>
      </c>
      <c r="E82" t="str">
        <f>DATE(YEAR(D82),MONTH(D82),DAY(D82))</f>
      </c>
      <c r="F82" t="str">
        <f>CONCATENATE(C82,E82)</f>
      </c>
      <c r="G82" t="str">
        <f>TIMEVALUE(D82)</f>
      </c>
      <c r="H82" t="str">
        <f>COUNTIF(Szamlaszamok!A:A,A82)</f>
      </c>
      <c r="I82" t="str">
        <f>SUMIFS(Szamlaszamok!E:E,Szamlaszamok!A:A,Szamlaszamok_nonduplicate!A82)</f>
      </c>
    </row>
    <row r="83" spans="1:9">
      <c r="A83" t="s">
        <v>341</v>
      </c>
      <c r="B83" t="str">
        <f>VLOOKUP($A83,Szamlaszamok!$A82:F1638,2,FALSE)</f>
      </c>
      <c r="C83" t="str">
        <f>VLOOKUP($A83,Szamlaszamok!$A82:F1638,3,FALSE)</f>
      </c>
      <c r="D83" t="str">
        <f>VLOOKUP($A83,Szamlaszamok!$A82:F1638,4,FALSE)</f>
      </c>
      <c r="E83" t="str">
        <f>DATE(YEAR(D83),MONTH(D83),DAY(D83))</f>
      </c>
      <c r="F83" t="str">
        <f>CONCATENATE(C83,E83)</f>
      </c>
      <c r="G83" t="str">
        <f>TIMEVALUE(D83)</f>
      </c>
      <c r="H83" t="str">
        <f>COUNTIF(Szamlaszamok!A:A,A83)</f>
      </c>
      <c r="I83" t="str">
        <f>SUMIFS(Szamlaszamok!E:E,Szamlaszamok!A:A,Szamlaszamok_nonduplicate!A83)</f>
      </c>
    </row>
    <row r="84" spans="1:9">
      <c r="A84" t="s">
        <v>346</v>
      </c>
      <c r="B84" t="str">
        <f>VLOOKUP($A84,Szamlaszamok!$A83:F1639,2,FALSE)</f>
      </c>
      <c r="C84" t="str">
        <f>VLOOKUP($A84,Szamlaszamok!$A83:F1639,3,FALSE)</f>
      </c>
      <c r="D84" t="str">
        <f>VLOOKUP($A84,Szamlaszamok!$A83:F1639,4,FALSE)</f>
      </c>
      <c r="E84" t="str">
        <f>DATE(YEAR(D84),MONTH(D84),DAY(D84))</f>
      </c>
      <c r="F84" t="str">
        <f>CONCATENATE(C84,E84)</f>
      </c>
      <c r="G84" t="str">
        <f>TIMEVALUE(D84)</f>
      </c>
      <c r="H84" t="str">
        <f>COUNTIF(Szamlaszamok!A:A,A84)</f>
      </c>
      <c r="I84" t="str">
        <f>SUMIFS(Szamlaszamok!E:E,Szamlaszamok!A:A,Szamlaszamok_nonduplicate!A84)</f>
      </c>
    </row>
    <row r="85" spans="1:9">
      <c r="A85" t="s">
        <v>353</v>
      </c>
      <c r="B85" t="str">
        <f>VLOOKUP($A85,Szamlaszamok!$A84:F1640,2,FALSE)</f>
      </c>
      <c r="C85" t="str">
        <f>VLOOKUP($A85,Szamlaszamok!$A84:F1640,3,FALSE)</f>
      </c>
      <c r="D85" t="str">
        <f>VLOOKUP($A85,Szamlaszamok!$A84:F1640,4,FALSE)</f>
      </c>
      <c r="E85" t="str">
        <f>DATE(YEAR(D85),MONTH(D85),DAY(D85))</f>
      </c>
      <c r="F85" t="str">
        <f>CONCATENATE(C85,E85)</f>
      </c>
      <c r="G85" t="str">
        <f>TIMEVALUE(D85)</f>
      </c>
      <c r="H85" t="str">
        <f>COUNTIF(Szamlaszamok!A:A,A85)</f>
      </c>
      <c r="I85" t="str">
        <f>SUMIFS(Szamlaszamok!E:E,Szamlaszamok!A:A,Szamlaszamok_nonduplicate!A85)</f>
      </c>
    </row>
    <row r="86" spans="1:9">
      <c r="A86" t="s">
        <v>357</v>
      </c>
      <c r="B86" t="str">
        <f>VLOOKUP($A86,Szamlaszamok!$A85:F1641,2,FALSE)</f>
      </c>
      <c r="C86" t="str">
        <f>VLOOKUP($A86,Szamlaszamok!$A85:F1641,3,FALSE)</f>
      </c>
      <c r="D86" t="str">
        <f>VLOOKUP($A86,Szamlaszamok!$A85:F1641,4,FALSE)</f>
      </c>
      <c r="E86" t="str">
        <f>DATE(YEAR(D86),MONTH(D86),DAY(D86))</f>
      </c>
      <c r="F86" t="str">
        <f>CONCATENATE(C86,E86)</f>
      </c>
      <c r="G86" t="str">
        <f>TIMEVALUE(D86)</f>
      </c>
      <c r="H86" t="str">
        <f>COUNTIF(Szamlaszamok!A:A,A86)</f>
      </c>
      <c r="I86" t="str">
        <f>SUMIFS(Szamlaszamok!E:E,Szamlaszamok!A:A,Szamlaszamok_nonduplicate!A86)</f>
      </c>
    </row>
    <row r="87" spans="1:9">
      <c r="A87" t="s">
        <v>362</v>
      </c>
      <c r="B87" t="str">
        <f>VLOOKUP($A87,Szamlaszamok!$A86:F1642,2,FALSE)</f>
      </c>
      <c r="C87" t="str">
        <f>VLOOKUP($A87,Szamlaszamok!$A86:F1642,3,FALSE)</f>
      </c>
      <c r="D87" t="str">
        <f>VLOOKUP($A87,Szamlaszamok!$A86:F1642,4,FALSE)</f>
      </c>
      <c r="E87" t="str">
        <f>DATE(YEAR(D87),MONTH(D87),DAY(D87))</f>
      </c>
      <c r="F87" t="str">
        <f>CONCATENATE(C87,E87)</f>
      </c>
      <c r="G87" t="str">
        <f>TIMEVALUE(D87)</f>
      </c>
      <c r="H87" t="str">
        <f>COUNTIF(Szamlaszamok!A:A,A87)</f>
      </c>
      <c r="I87" t="str">
        <f>SUMIFS(Szamlaszamok!E:E,Szamlaszamok!A:A,Szamlaszamok_nonduplicate!A87)</f>
      </c>
    </row>
    <row r="88" spans="1:9">
      <c r="A88" t="s">
        <v>365</v>
      </c>
      <c r="B88" t="str">
        <f>VLOOKUP($A88,Szamlaszamok!$A87:F1643,2,FALSE)</f>
      </c>
      <c r="C88" t="str">
        <f>VLOOKUP($A88,Szamlaszamok!$A87:F1643,3,FALSE)</f>
      </c>
      <c r="D88" t="str">
        <f>VLOOKUP($A88,Szamlaszamok!$A87:F1643,4,FALSE)</f>
      </c>
      <c r="E88" t="str">
        <f>DATE(YEAR(D88),MONTH(D88),DAY(D88))</f>
      </c>
      <c r="F88" t="str">
        <f>CONCATENATE(C88,E88)</f>
      </c>
      <c r="G88" t="str">
        <f>TIMEVALUE(D88)</f>
      </c>
      <c r="H88" t="str">
        <f>COUNTIF(Szamlaszamok!A:A,A88)</f>
      </c>
      <c r="I88" t="str">
        <f>SUMIFS(Szamlaszamok!E:E,Szamlaszamok!A:A,Szamlaszamok_nonduplicate!A88)</f>
      </c>
    </row>
    <row r="89" spans="1:9">
      <c r="A89" t="s">
        <v>368</v>
      </c>
      <c r="B89" t="str">
        <f>VLOOKUP($A89,Szamlaszamok!$A88:F1644,2,FALSE)</f>
      </c>
      <c r="C89" t="str">
        <f>VLOOKUP($A89,Szamlaszamok!$A88:F1644,3,FALSE)</f>
      </c>
      <c r="D89" t="str">
        <f>VLOOKUP($A89,Szamlaszamok!$A88:F1644,4,FALSE)</f>
      </c>
      <c r="E89" t="str">
        <f>DATE(YEAR(D89),MONTH(D89),DAY(D89))</f>
      </c>
      <c r="F89" t="str">
        <f>CONCATENATE(C89,E89)</f>
      </c>
      <c r="G89" t="str">
        <f>TIMEVALUE(D89)</f>
      </c>
      <c r="H89" t="str">
        <f>COUNTIF(Szamlaszamok!A:A,A89)</f>
      </c>
      <c r="I89" t="str">
        <f>SUMIFS(Szamlaszamok!E:E,Szamlaszamok!A:A,Szamlaszamok_nonduplicate!A89)</f>
      </c>
    </row>
    <row r="90" spans="1:9">
      <c r="A90" t="s">
        <v>372</v>
      </c>
      <c r="B90" t="str">
        <f>VLOOKUP($A90,Szamlaszamok!$A89:F1645,2,FALSE)</f>
      </c>
      <c r="C90" t="str">
        <f>VLOOKUP($A90,Szamlaszamok!$A89:F1645,3,FALSE)</f>
      </c>
      <c r="D90" t="str">
        <f>VLOOKUP($A90,Szamlaszamok!$A89:F1645,4,FALSE)</f>
      </c>
      <c r="E90" t="str">
        <f>DATE(YEAR(D90),MONTH(D90),DAY(D90))</f>
      </c>
      <c r="F90" t="str">
        <f>CONCATENATE(C90,E90)</f>
      </c>
      <c r="G90" t="str">
        <f>TIMEVALUE(D90)</f>
      </c>
      <c r="H90" t="str">
        <f>COUNTIF(Szamlaszamok!A:A,A90)</f>
      </c>
      <c r="I90" t="str">
        <f>SUMIFS(Szamlaszamok!E:E,Szamlaszamok!A:A,Szamlaszamok_nonduplicate!A90)</f>
      </c>
    </row>
    <row r="91" spans="1:9">
      <c r="A91" t="s">
        <v>375</v>
      </c>
      <c r="B91" t="str">
        <f>VLOOKUP($A91,Szamlaszamok!$A90:F1646,2,FALSE)</f>
      </c>
      <c r="C91" t="str">
        <f>VLOOKUP($A91,Szamlaszamok!$A90:F1646,3,FALSE)</f>
      </c>
      <c r="D91" t="str">
        <f>VLOOKUP($A91,Szamlaszamok!$A90:F1646,4,FALSE)</f>
      </c>
      <c r="E91" t="str">
        <f>DATE(YEAR(D91),MONTH(D91),DAY(D91))</f>
      </c>
      <c r="F91" t="str">
        <f>CONCATENATE(C91,E91)</f>
      </c>
      <c r="G91" t="str">
        <f>TIMEVALUE(D91)</f>
      </c>
      <c r="H91" t="str">
        <f>COUNTIF(Szamlaszamok!A:A,A91)</f>
      </c>
      <c r="I91" t="str">
        <f>SUMIFS(Szamlaszamok!E:E,Szamlaszamok!A:A,Szamlaszamok_nonduplicate!A91)</f>
      </c>
    </row>
    <row r="92" spans="1:9">
      <c r="A92" t="s">
        <v>378</v>
      </c>
      <c r="B92" t="str">
        <f>VLOOKUP($A92,Szamlaszamok!$A91:F1647,2,FALSE)</f>
      </c>
      <c r="C92" t="str">
        <f>VLOOKUP($A92,Szamlaszamok!$A91:F1647,3,FALSE)</f>
      </c>
      <c r="D92" t="str">
        <f>VLOOKUP($A92,Szamlaszamok!$A91:F1647,4,FALSE)</f>
      </c>
      <c r="E92" t="str">
        <f>DATE(YEAR(D92),MONTH(D92),DAY(D92))</f>
      </c>
      <c r="F92" t="str">
        <f>CONCATENATE(C92,E92)</f>
      </c>
      <c r="G92" t="str">
        <f>TIMEVALUE(D92)</f>
      </c>
      <c r="H92" t="str">
        <f>COUNTIF(Szamlaszamok!A:A,A92)</f>
      </c>
      <c r="I92" t="str">
        <f>SUMIFS(Szamlaszamok!E:E,Szamlaszamok!A:A,Szamlaszamok_nonduplicate!A92)</f>
      </c>
    </row>
    <row r="93" spans="1:9">
      <c r="A93" t="s">
        <v>381</v>
      </c>
      <c r="B93" t="str">
        <f>VLOOKUP($A93,Szamlaszamok!$A92:F1648,2,FALSE)</f>
      </c>
      <c r="C93" t="str">
        <f>VLOOKUP($A93,Szamlaszamok!$A92:F1648,3,FALSE)</f>
      </c>
      <c r="D93" t="str">
        <f>VLOOKUP($A93,Szamlaszamok!$A92:F1648,4,FALSE)</f>
      </c>
      <c r="E93" t="str">
        <f>DATE(YEAR(D93),MONTH(D93),DAY(D93))</f>
      </c>
      <c r="F93" t="str">
        <f>CONCATENATE(C93,E93)</f>
      </c>
      <c r="G93" t="str">
        <f>TIMEVALUE(D93)</f>
      </c>
      <c r="H93" t="str">
        <f>COUNTIF(Szamlaszamok!A:A,A93)</f>
      </c>
      <c r="I93" t="str">
        <f>SUMIFS(Szamlaszamok!E:E,Szamlaszamok!A:A,Szamlaszamok_nonduplicate!A93)</f>
      </c>
    </row>
    <row r="94" spans="1:9">
      <c r="A94" t="s">
        <v>384</v>
      </c>
      <c r="B94" t="str">
        <f>VLOOKUP($A94,Szamlaszamok!$A93:F1649,2,FALSE)</f>
      </c>
      <c r="C94" t="str">
        <f>VLOOKUP($A94,Szamlaszamok!$A93:F1649,3,FALSE)</f>
      </c>
      <c r="D94" t="str">
        <f>VLOOKUP($A94,Szamlaszamok!$A93:F1649,4,FALSE)</f>
      </c>
      <c r="E94" t="str">
        <f>DATE(YEAR(D94),MONTH(D94),DAY(D94))</f>
      </c>
      <c r="F94" t="str">
        <f>CONCATENATE(C94,E94)</f>
      </c>
      <c r="G94" t="str">
        <f>TIMEVALUE(D94)</f>
      </c>
      <c r="H94" t="str">
        <f>COUNTIF(Szamlaszamok!A:A,A94)</f>
      </c>
      <c r="I94" t="str">
        <f>SUMIFS(Szamlaszamok!E:E,Szamlaszamok!A:A,Szamlaszamok_nonduplicate!A94)</f>
      </c>
    </row>
    <row r="95" spans="1:9">
      <c r="A95" t="s">
        <v>387</v>
      </c>
      <c r="B95" t="str">
        <f>VLOOKUP($A95,Szamlaszamok!$A94:F1650,2,FALSE)</f>
      </c>
      <c r="C95" t="str">
        <f>VLOOKUP($A95,Szamlaszamok!$A94:F1650,3,FALSE)</f>
      </c>
      <c r="D95" t="str">
        <f>VLOOKUP($A95,Szamlaszamok!$A94:F1650,4,FALSE)</f>
      </c>
      <c r="E95" t="str">
        <f>DATE(YEAR(D95),MONTH(D95),DAY(D95))</f>
      </c>
      <c r="F95" t="str">
        <f>CONCATENATE(C95,E95)</f>
      </c>
      <c r="G95" t="str">
        <f>TIMEVALUE(D95)</f>
      </c>
      <c r="H95" t="str">
        <f>COUNTIF(Szamlaszamok!A:A,A95)</f>
      </c>
      <c r="I95" t="str">
        <f>SUMIFS(Szamlaszamok!E:E,Szamlaszamok!A:A,Szamlaszamok_nonduplicate!A95)</f>
      </c>
    </row>
    <row r="96" spans="1:9">
      <c r="A96" t="s">
        <v>391</v>
      </c>
      <c r="B96" t="str">
        <f>VLOOKUP($A96,Szamlaszamok!$A95:F1651,2,FALSE)</f>
      </c>
      <c r="C96" t="str">
        <f>VLOOKUP($A96,Szamlaszamok!$A95:F1651,3,FALSE)</f>
      </c>
      <c r="D96" t="str">
        <f>VLOOKUP($A96,Szamlaszamok!$A95:F1651,4,FALSE)</f>
      </c>
      <c r="E96" t="str">
        <f>DATE(YEAR(D96),MONTH(D96),DAY(D96))</f>
      </c>
      <c r="F96" t="str">
        <f>CONCATENATE(C96,E96)</f>
      </c>
      <c r="G96" t="str">
        <f>TIMEVALUE(D96)</f>
      </c>
      <c r="H96" t="str">
        <f>COUNTIF(Szamlaszamok!A:A,A96)</f>
      </c>
      <c r="I96" t="str">
        <f>SUMIFS(Szamlaszamok!E:E,Szamlaszamok!A:A,Szamlaszamok_nonduplicate!A96)</f>
      </c>
    </row>
    <row r="97" spans="1:9">
      <c r="A97" t="s">
        <v>395</v>
      </c>
      <c r="B97" t="str">
        <f>VLOOKUP($A97,Szamlaszamok!$A96:F1652,2,FALSE)</f>
      </c>
      <c r="C97" t="str">
        <f>VLOOKUP($A97,Szamlaszamok!$A96:F1652,3,FALSE)</f>
      </c>
      <c r="D97" t="str">
        <f>VLOOKUP($A97,Szamlaszamok!$A96:F1652,4,FALSE)</f>
      </c>
      <c r="E97" t="str">
        <f>DATE(YEAR(D97),MONTH(D97),DAY(D97))</f>
      </c>
      <c r="F97" t="str">
        <f>CONCATENATE(C97,E97)</f>
      </c>
      <c r="G97" t="str">
        <f>TIMEVALUE(D97)</f>
      </c>
      <c r="H97" t="str">
        <f>COUNTIF(Szamlaszamok!A:A,A97)</f>
      </c>
      <c r="I97" t="str">
        <f>SUMIFS(Szamlaszamok!E:E,Szamlaszamok!A:A,Szamlaszamok_nonduplicate!A97)</f>
      </c>
    </row>
    <row r="98" spans="1:9">
      <c r="A98" t="s">
        <v>399</v>
      </c>
      <c r="B98" t="str">
        <f>VLOOKUP($A98,Szamlaszamok!$A97:F1653,2,FALSE)</f>
      </c>
      <c r="C98" t="str">
        <f>VLOOKUP($A98,Szamlaszamok!$A97:F1653,3,FALSE)</f>
      </c>
      <c r="D98" t="str">
        <f>VLOOKUP($A98,Szamlaszamok!$A97:F1653,4,FALSE)</f>
      </c>
      <c r="E98" t="str">
        <f>DATE(YEAR(D98),MONTH(D98),DAY(D98))</f>
      </c>
      <c r="F98" t="str">
        <f>CONCATENATE(C98,E98)</f>
      </c>
      <c r="G98" t="str">
        <f>TIMEVALUE(D98)</f>
      </c>
      <c r="H98" t="str">
        <f>COUNTIF(Szamlaszamok!A:A,A98)</f>
      </c>
      <c r="I98" t="str">
        <f>SUMIFS(Szamlaszamok!E:E,Szamlaszamok!A:A,Szamlaszamok_nonduplicate!A98)</f>
      </c>
    </row>
    <row r="99" spans="1:9">
      <c r="A99" t="s">
        <v>403</v>
      </c>
      <c r="B99" t="str">
        <f>VLOOKUP($A99,Szamlaszamok!$A98:F1654,2,FALSE)</f>
      </c>
      <c r="C99" t="str">
        <f>VLOOKUP($A99,Szamlaszamok!$A98:F1654,3,FALSE)</f>
      </c>
      <c r="D99" t="str">
        <f>VLOOKUP($A99,Szamlaszamok!$A98:F1654,4,FALSE)</f>
      </c>
      <c r="E99" t="str">
        <f>DATE(YEAR(D99),MONTH(D99),DAY(D99))</f>
      </c>
      <c r="F99" t="str">
        <f>CONCATENATE(C99,E99)</f>
      </c>
      <c r="G99" t="str">
        <f>TIMEVALUE(D99)</f>
      </c>
      <c r="H99" t="str">
        <f>COUNTIF(Szamlaszamok!A:A,A99)</f>
      </c>
      <c r="I99" t="str">
        <f>SUMIFS(Szamlaszamok!E:E,Szamlaszamok!A:A,Szamlaszamok_nonduplicate!A99)</f>
      </c>
    </row>
    <row r="100" spans="1:9">
      <c r="A100" t="s">
        <v>406</v>
      </c>
      <c r="B100" t="str">
        <f>VLOOKUP($A100,Szamlaszamok!$A99:F1655,2,FALSE)</f>
      </c>
      <c r="C100" t="str">
        <f>VLOOKUP($A100,Szamlaszamok!$A99:F1655,3,FALSE)</f>
      </c>
      <c r="D100" t="str">
        <f>VLOOKUP($A100,Szamlaszamok!$A99:F1655,4,FALSE)</f>
      </c>
      <c r="E100" t="str">
        <f>DATE(YEAR(D100),MONTH(D100),DAY(D100))</f>
      </c>
      <c r="F100" t="str">
        <f>CONCATENATE(C100,E100)</f>
      </c>
      <c r="G100" t="str">
        <f>TIMEVALUE(D100)</f>
      </c>
      <c r="H100" t="str">
        <f>COUNTIF(Szamlaszamok!A:A,A100)</f>
      </c>
      <c r="I100" t="str">
        <f>SUMIFS(Szamlaszamok!E:E,Szamlaszamok!A:A,Szamlaszamok_nonduplicate!A100)</f>
      </c>
    </row>
    <row r="101" spans="1:9">
      <c r="A101" t="s">
        <v>408</v>
      </c>
      <c r="B101" t="str">
        <f>VLOOKUP($A101,Szamlaszamok!$A100:F1656,2,FALSE)</f>
      </c>
      <c r="C101" t="str">
        <f>VLOOKUP($A101,Szamlaszamok!$A100:F1656,3,FALSE)</f>
      </c>
      <c r="D101" t="str">
        <f>VLOOKUP($A101,Szamlaszamok!$A100:F1656,4,FALSE)</f>
      </c>
      <c r="E101" t="str">
        <f>DATE(YEAR(D101),MONTH(D101),DAY(D101))</f>
      </c>
      <c r="F101" t="str">
        <f>CONCATENATE(C101,E101)</f>
      </c>
      <c r="G101" t="str">
        <f>TIMEVALUE(D101)</f>
      </c>
      <c r="H101" t="str">
        <f>COUNTIF(Szamlaszamok!A:A,A101)</f>
      </c>
      <c r="I101" t="str">
        <f>SUMIFS(Szamlaszamok!E:E,Szamlaszamok!A:A,Szamlaszamok_nonduplicate!A101)</f>
      </c>
    </row>
    <row r="102" spans="1:9">
      <c r="A102" t="s">
        <v>411</v>
      </c>
      <c r="B102" t="str">
        <f>VLOOKUP($A102,Szamlaszamok!$A101:F1657,2,FALSE)</f>
      </c>
      <c r="C102" t="str">
        <f>VLOOKUP($A102,Szamlaszamok!$A101:F1657,3,FALSE)</f>
      </c>
      <c r="D102" t="str">
        <f>VLOOKUP($A102,Szamlaszamok!$A101:F1657,4,FALSE)</f>
      </c>
      <c r="E102" t="str">
        <f>DATE(YEAR(D102),MONTH(D102),DAY(D102))</f>
      </c>
      <c r="F102" t="str">
        <f>CONCATENATE(C102,E102)</f>
      </c>
      <c r="G102" t="str">
        <f>TIMEVALUE(D102)</f>
      </c>
      <c r="H102" t="str">
        <f>COUNTIF(Szamlaszamok!A:A,A102)</f>
      </c>
      <c r="I102" t="str">
        <f>SUMIFS(Szamlaszamok!E:E,Szamlaszamok!A:A,Szamlaszamok_nonduplicate!A102)</f>
      </c>
    </row>
    <row r="103" spans="1:9">
      <c r="A103" t="s">
        <v>415</v>
      </c>
      <c r="B103" t="str">
        <f>VLOOKUP($A103,Szamlaszamok!$A102:F1658,2,FALSE)</f>
      </c>
      <c r="C103" t="str">
        <f>VLOOKUP($A103,Szamlaszamok!$A102:F1658,3,FALSE)</f>
      </c>
      <c r="D103" t="str">
        <f>VLOOKUP($A103,Szamlaszamok!$A102:F1658,4,FALSE)</f>
      </c>
      <c r="E103" t="str">
        <f>DATE(YEAR(D103),MONTH(D103),DAY(D103))</f>
      </c>
      <c r="F103" t="str">
        <f>CONCATENATE(C103,E103)</f>
      </c>
      <c r="G103" t="str">
        <f>TIMEVALUE(D103)</f>
      </c>
      <c r="H103" t="str">
        <f>COUNTIF(Szamlaszamok!A:A,A103)</f>
      </c>
      <c r="I103" t="str">
        <f>SUMIFS(Szamlaszamok!E:E,Szamlaszamok!A:A,Szamlaszamok_nonduplicate!A103)</f>
      </c>
    </row>
    <row r="104" spans="1:9">
      <c r="A104" t="s">
        <v>418</v>
      </c>
      <c r="B104" t="str">
        <f>VLOOKUP($A104,Szamlaszamok!$A103:F1659,2,FALSE)</f>
      </c>
      <c r="C104" t="str">
        <f>VLOOKUP($A104,Szamlaszamok!$A103:F1659,3,FALSE)</f>
      </c>
      <c r="D104" t="str">
        <f>VLOOKUP($A104,Szamlaszamok!$A103:F1659,4,FALSE)</f>
      </c>
      <c r="E104" t="str">
        <f>DATE(YEAR(D104),MONTH(D104),DAY(D104))</f>
      </c>
      <c r="F104" t="str">
        <f>CONCATENATE(C104,E104)</f>
      </c>
      <c r="G104" t="str">
        <f>TIMEVALUE(D104)</f>
      </c>
      <c r="H104" t="str">
        <f>COUNTIF(Szamlaszamok!A:A,A104)</f>
      </c>
      <c r="I104" t="str">
        <f>SUMIFS(Szamlaszamok!E:E,Szamlaszamok!A:A,Szamlaszamok_nonduplicate!A104)</f>
      </c>
    </row>
    <row r="105" spans="1:9">
      <c r="A105" t="s">
        <v>421</v>
      </c>
      <c r="B105" t="str">
        <f>VLOOKUP($A105,Szamlaszamok!$A104:F1660,2,FALSE)</f>
      </c>
      <c r="C105" t="str">
        <f>VLOOKUP($A105,Szamlaszamok!$A104:F1660,3,FALSE)</f>
      </c>
      <c r="D105" t="str">
        <f>VLOOKUP($A105,Szamlaszamok!$A104:F1660,4,FALSE)</f>
      </c>
      <c r="E105" t="str">
        <f>DATE(YEAR(D105),MONTH(D105),DAY(D105))</f>
      </c>
      <c r="F105" t="str">
        <f>CONCATENATE(C105,E105)</f>
      </c>
      <c r="G105" t="str">
        <f>TIMEVALUE(D105)</f>
      </c>
      <c r="H105" t="str">
        <f>COUNTIF(Szamlaszamok!A:A,A105)</f>
      </c>
      <c r="I105" t="str">
        <f>SUMIFS(Szamlaszamok!E:E,Szamlaszamok!A:A,Szamlaszamok_nonduplicate!A105)</f>
      </c>
    </row>
    <row r="106" spans="1:9">
      <c r="A106" t="s">
        <v>425</v>
      </c>
      <c r="B106" t="str">
        <f>VLOOKUP($A106,Szamlaszamok!$A105:F1661,2,FALSE)</f>
      </c>
      <c r="C106" t="str">
        <f>VLOOKUP($A106,Szamlaszamok!$A105:F1661,3,FALSE)</f>
      </c>
      <c r="D106" t="str">
        <f>VLOOKUP($A106,Szamlaszamok!$A105:F1661,4,FALSE)</f>
      </c>
      <c r="E106" t="str">
        <f>DATE(YEAR(D106),MONTH(D106),DAY(D106))</f>
      </c>
      <c r="F106" t="str">
        <f>CONCATENATE(C106,E106)</f>
      </c>
      <c r="G106" t="str">
        <f>TIMEVALUE(D106)</f>
      </c>
      <c r="H106" t="str">
        <f>COUNTIF(Szamlaszamok!A:A,A106)</f>
      </c>
      <c r="I106" t="str">
        <f>SUMIFS(Szamlaszamok!E:E,Szamlaszamok!A:A,Szamlaszamok_nonduplicate!A106)</f>
      </c>
    </row>
    <row r="107" spans="1:9">
      <c r="A107" t="s">
        <v>429</v>
      </c>
      <c r="B107" t="str">
        <f>VLOOKUP($A107,Szamlaszamok!$A106:F1662,2,FALSE)</f>
      </c>
      <c r="C107" t="str">
        <f>VLOOKUP($A107,Szamlaszamok!$A106:F1662,3,FALSE)</f>
      </c>
      <c r="D107" t="str">
        <f>VLOOKUP($A107,Szamlaszamok!$A106:F1662,4,FALSE)</f>
      </c>
      <c r="E107" t="str">
        <f>DATE(YEAR(D107),MONTH(D107),DAY(D107))</f>
      </c>
      <c r="F107" t="str">
        <f>CONCATENATE(C107,E107)</f>
      </c>
      <c r="G107" t="str">
        <f>TIMEVALUE(D107)</f>
      </c>
      <c r="H107" t="str">
        <f>COUNTIF(Szamlaszamok!A:A,A107)</f>
      </c>
      <c r="I107" t="str">
        <f>SUMIFS(Szamlaszamok!E:E,Szamlaszamok!A:A,Szamlaszamok_nonduplicate!A107)</f>
      </c>
    </row>
    <row r="108" spans="1:9">
      <c r="A108" t="s">
        <v>432</v>
      </c>
      <c r="B108" t="str">
        <f>VLOOKUP($A108,Szamlaszamok!$A107:F1663,2,FALSE)</f>
      </c>
      <c r="C108" t="str">
        <f>VLOOKUP($A108,Szamlaszamok!$A107:F1663,3,FALSE)</f>
      </c>
      <c r="D108" t="str">
        <f>VLOOKUP($A108,Szamlaszamok!$A107:F1663,4,FALSE)</f>
      </c>
      <c r="E108" t="str">
        <f>DATE(YEAR(D108),MONTH(D108),DAY(D108))</f>
      </c>
      <c r="F108" t="str">
        <f>CONCATENATE(C108,E108)</f>
      </c>
      <c r="G108" t="str">
        <f>TIMEVALUE(D108)</f>
      </c>
      <c r="H108" t="str">
        <f>COUNTIF(Szamlaszamok!A:A,A108)</f>
      </c>
      <c r="I108" t="str">
        <f>SUMIFS(Szamlaszamok!E:E,Szamlaszamok!A:A,Szamlaszamok_nonduplicate!A108)</f>
      </c>
    </row>
    <row r="109" spans="1:9">
      <c r="A109" t="s">
        <v>435</v>
      </c>
      <c r="B109" t="str">
        <f>VLOOKUP($A109,Szamlaszamok!$A108:F1664,2,FALSE)</f>
      </c>
      <c r="C109" t="str">
        <f>VLOOKUP($A109,Szamlaszamok!$A108:F1664,3,FALSE)</f>
      </c>
      <c r="D109" t="str">
        <f>VLOOKUP($A109,Szamlaszamok!$A108:F1664,4,FALSE)</f>
      </c>
      <c r="E109" t="str">
        <f>DATE(YEAR(D109),MONTH(D109),DAY(D109))</f>
      </c>
      <c r="F109" t="str">
        <f>CONCATENATE(C109,E109)</f>
      </c>
      <c r="G109" t="str">
        <f>TIMEVALUE(D109)</f>
      </c>
      <c r="H109" t="str">
        <f>COUNTIF(Szamlaszamok!A:A,A109)</f>
      </c>
      <c r="I109" t="str">
        <f>SUMIFS(Szamlaszamok!E:E,Szamlaszamok!A:A,Szamlaszamok_nonduplicate!A109)</f>
      </c>
    </row>
    <row r="110" spans="1:9">
      <c r="A110" t="s">
        <v>439</v>
      </c>
      <c r="B110" t="str">
        <f>VLOOKUP($A110,Szamlaszamok!$A109:F1665,2,FALSE)</f>
      </c>
      <c r="C110" t="str">
        <f>VLOOKUP($A110,Szamlaszamok!$A109:F1665,3,FALSE)</f>
      </c>
      <c r="D110" t="str">
        <f>VLOOKUP($A110,Szamlaszamok!$A109:F1665,4,FALSE)</f>
      </c>
      <c r="E110" t="str">
        <f>DATE(YEAR(D110),MONTH(D110),DAY(D110))</f>
      </c>
      <c r="F110" t="str">
        <f>CONCATENATE(C110,E110)</f>
      </c>
      <c r="G110" t="str">
        <f>TIMEVALUE(D110)</f>
      </c>
      <c r="H110" t="str">
        <f>COUNTIF(Szamlaszamok!A:A,A110)</f>
      </c>
      <c r="I110" t="str">
        <f>SUMIFS(Szamlaszamok!E:E,Szamlaszamok!A:A,Szamlaszamok_nonduplicate!A110)</f>
      </c>
    </row>
    <row r="111" spans="1:9">
      <c r="A111" t="s">
        <v>442</v>
      </c>
      <c r="B111" t="str">
        <f>VLOOKUP($A111,Szamlaszamok!$A110:F1666,2,FALSE)</f>
      </c>
      <c r="C111" t="str">
        <f>VLOOKUP($A111,Szamlaszamok!$A110:F1666,3,FALSE)</f>
      </c>
      <c r="D111" t="str">
        <f>VLOOKUP($A111,Szamlaszamok!$A110:F1666,4,FALSE)</f>
      </c>
      <c r="E111" t="str">
        <f>DATE(YEAR(D111),MONTH(D111),DAY(D111))</f>
      </c>
      <c r="F111" t="str">
        <f>CONCATENATE(C111,E111)</f>
      </c>
      <c r="G111" t="str">
        <f>TIMEVALUE(D111)</f>
      </c>
      <c r="H111" t="str">
        <f>COUNTIF(Szamlaszamok!A:A,A111)</f>
      </c>
      <c r="I111" t="str">
        <f>SUMIFS(Szamlaszamok!E:E,Szamlaszamok!A:A,Szamlaszamok_nonduplicate!A111)</f>
      </c>
    </row>
    <row r="112" spans="1:9">
      <c r="A112" t="s">
        <v>445</v>
      </c>
      <c r="B112" t="str">
        <f>VLOOKUP($A112,Szamlaszamok!$A111:F1667,2,FALSE)</f>
      </c>
      <c r="C112" t="str">
        <f>VLOOKUP($A112,Szamlaszamok!$A111:F1667,3,FALSE)</f>
      </c>
      <c r="D112" t="str">
        <f>VLOOKUP($A112,Szamlaszamok!$A111:F1667,4,FALSE)</f>
      </c>
      <c r="E112" t="str">
        <f>DATE(YEAR(D112),MONTH(D112),DAY(D112))</f>
      </c>
      <c r="F112" t="str">
        <f>CONCATENATE(C112,E112)</f>
      </c>
      <c r="G112" t="str">
        <f>TIMEVALUE(D112)</f>
      </c>
      <c r="H112" t="str">
        <f>COUNTIF(Szamlaszamok!A:A,A112)</f>
      </c>
      <c r="I112" t="str">
        <f>SUMIFS(Szamlaszamok!E:E,Szamlaszamok!A:A,Szamlaszamok_nonduplicate!A112)</f>
      </c>
    </row>
    <row r="113" spans="1:9">
      <c r="A113" t="s">
        <v>447</v>
      </c>
      <c r="B113" t="str">
        <f>VLOOKUP($A113,Szamlaszamok!$A112:F1668,2,FALSE)</f>
      </c>
      <c r="C113" t="str">
        <f>VLOOKUP($A113,Szamlaszamok!$A112:F1668,3,FALSE)</f>
      </c>
      <c r="D113" t="str">
        <f>VLOOKUP($A113,Szamlaszamok!$A112:F1668,4,FALSE)</f>
      </c>
      <c r="E113" t="str">
        <f>DATE(YEAR(D113),MONTH(D113),DAY(D113))</f>
      </c>
      <c r="F113" t="str">
        <f>CONCATENATE(C113,E113)</f>
      </c>
      <c r="G113" t="str">
        <f>TIMEVALUE(D113)</f>
      </c>
      <c r="H113" t="str">
        <f>COUNTIF(Szamlaszamok!A:A,A113)</f>
      </c>
      <c r="I113" t="str">
        <f>SUMIFS(Szamlaszamok!E:E,Szamlaszamok!A:A,Szamlaszamok_nonduplicate!A113)</f>
      </c>
    </row>
    <row r="114" spans="1:9">
      <c r="A114" t="s">
        <v>451</v>
      </c>
      <c r="B114" t="str">
        <f>VLOOKUP($A114,Szamlaszamok!$A113:F1669,2,FALSE)</f>
      </c>
      <c r="C114" t="str">
        <f>VLOOKUP($A114,Szamlaszamok!$A113:F1669,3,FALSE)</f>
      </c>
      <c r="D114" t="str">
        <f>VLOOKUP($A114,Szamlaszamok!$A113:F1669,4,FALSE)</f>
      </c>
      <c r="E114" t="str">
        <f>DATE(YEAR(D114),MONTH(D114),DAY(D114))</f>
      </c>
      <c r="F114" t="str">
        <f>CONCATENATE(C114,E114)</f>
      </c>
      <c r="G114" t="str">
        <f>TIMEVALUE(D114)</f>
      </c>
      <c r="H114" t="str">
        <f>COUNTIF(Szamlaszamok!A:A,A114)</f>
      </c>
      <c r="I114" t="str">
        <f>SUMIFS(Szamlaszamok!E:E,Szamlaszamok!A:A,Szamlaszamok_nonduplicate!A114)</f>
      </c>
    </row>
    <row r="115" spans="1:9">
      <c r="A115" t="s">
        <v>454</v>
      </c>
      <c r="B115" t="str">
        <f>VLOOKUP($A115,Szamlaszamok!$A114:F1670,2,FALSE)</f>
      </c>
      <c r="C115" t="str">
        <f>VLOOKUP($A115,Szamlaszamok!$A114:F1670,3,FALSE)</f>
      </c>
      <c r="D115" t="str">
        <f>VLOOKUP($A115,Szamlaszamok!$A114:F1670,4,FALSE)</f>
      </c>
      <c r="E115" t="str">
        <f>DATE(YEAR(D115),MONTH(D115),DAY(D115))</f>
      </c>
      <c r="F115" t="str">
        <f>CONCATENATE(C115,E115)</f>
      </c>
      <c r="G115" t="str">
        <f>TIMEVALUE(D115)</f>
      </c>
      <c r="H115" t="str">
        <f>COUNTIF(Szamlaszamok!A:A,A115)</f>
      </c>
      <c r="I115" t="str">
        <f>SUMIFS(Szamlaszamok!E:E,Szamlaszamok!A:A,Szamlaszamok_nonduplicate!A115)</f>
      </c>
    </row>
    <row r="116" spans="1:9">
      <c r="A116" t="s">
        <v>458</v>
      </c>
      <c r="B116" t="str">
        <f>VLOOKUP($A116,Szamlaszamok!$A115:F1671,2,FALSE)</f>
      </c>
      <c r="C116" t="str">
        <f>VLOOKUP($A116,Szamlaszamok!$A115:F1671,3,FALSE)</f>
      </c>
      <c r="D116" t="str">
        <f>VLOOKUP($A116,Szamlaszamok!$A115:F1671,4,FALSE)</f>
      </c>
      <c r="E116" t="str">
        <f>DATE(YEAR(D116),MONTH(D116),DAY(D116))</f>
      </c>
      <c r="F116" t="str">
        <f>CONCATENATE(C116,E116)</f>
      </c>
      <c r="G116" t="str">
        <f>TIMEVALUE(D116)</f>
      </c>
      <c r="H116" t="str">
        <f>COUNTIF(Szamlaszamok!A:A,A116)</f>
      </c>
      <c r="I116" t="str">
        <f>SUMIFS(Szamlaszamok!E:E,Szamlaszamok!A:A,Szamlaszamok_nonduplicate!A116)</f>
      </c>
    </row>
    <row r="117" spans="1:9">
      <c r="A117" t="s">
        <v>461</v>
      </c>
      <c r="B117" t="str">
        <f>VLOOKUP($A117,Szamlaszamok!$A116:F1672,2,FALSE)</f>
      </c>
      <c r="C117" t="str">
        <f>VLOOKUP($A117,Szamlaszamok!$A116:F1672,3,FALSE)</f>
      </c>
      <c r="D117" t="str">
        <f>VLOOKUP($A117,Szamlaszamok!$A116:F1672,4,FALSE)</f>
      </c>
      <c r="E117" t="str">
        <f>DATE(YEAR(D117),MONTH(D117),DAY(D117))</f>
      </c>
      <c r="F117" t="str">
        <f>CONCATENATE(C117,E117)</f>
      </c>
      <c r="G117" t="str">
        <f>TIMEVALUE(D117)</f>
      </c>
      <c r="H117" t="str">
        <f>COUNTIF(Szamlaszamok!A:A,A117)</f>
      </c>
      <c r="I117" t="str">
        <f>SUMIFS(Szamlaszamok!E:E,Szamlaszamok!A:A,Szamlaszamok_nonduplicate!A117)</f>
      </c>
    </row>
    <row r="118" spans="1:9">
      <c r="A118" t="s">
        <v>464</v>
      </c>
      <c r="B118" t="str">
        <f>VLOOKUP($A118,Szamlaszamok!$A117:F1673,2,FALSE)</f>
      </c>
      <c r="C118" t="str">
        <f>VLOOKUP($A118,Szamlaszamok!$A117:F1673,3,FALSE)</f>
      </c>
      <c r="D118" t="str">
        <f>VLOOKUP($A118,Szamlaszamok!$A117:F1673,4,FALSE)</f>
      </c>
      <c r="E118" t="str">
        <f>DATE(YEAR(D118),MONTH(D118),DAY(D118))</f>
      </c>
      <c r="F118" t="str">
        <f>CONCATENATE(C118,E118)</f>
      </c>
      <c r="G118" t="str">
        <f>TIMEVALUE(D118)</f>
      </c>
      <c r="H118" t="str">
        <f>COUNTIF(Szamlaszamok!A:A,A118)</f>
      </c>
      <c r="I118" t="str">
        <f>SUMIFS(Szamlaszamok!E:E,Szamlaszamok!A:A,Szamlaszamok_nonduplicate!A118)</f>
      </c>
    </row>
    <row r="119" spans="1:9">
      <c r="A119" t="s">
        <v>467</v>
      </c>
      <c r="B119" t="str">
        <f>VLOOKUP($A119,Szamlaszamok!$A118:F1674,2,FALSE)</f>
      </c>
      <c r="C119" t="str">
        <f>VLOOKUP($A119,Szamlaszamok!$A118:F1674,3,FALSE)</f>
      </c>
      <c r="D119" t="str">
        <f>VLOOKUP($A119,Szamlaszamok!$A118:F1674,4,FALSE)</f>
      </c>
      <c r="E119" t="str">
        <f>DATE(YEAR(D119),MONTH(D119),DAY(D119))</f>
      </c>
      <c r="F119" t="str">
        <f>CONCATENATE(C119,E119)</f>
      </c>
      <c r="G119" t="str">
        <f>TIMEVALUE(D119)</f>
      </c>
      <c r="H119" t="str">
        <f>COUNTIF(Szamlaszamok!A:A,A119)</f>
      </c>
      <c r="I119" t="str">
        <f>SUMIFS(Szamlaszamok!E:E,Szamlaszamok!A:A,Szamlaszamok_nonduplicate!A119)</f>
      </c>
    </row>
    <row r="120" spans="1:9">
      <c r="A120" t="s">
        <v>470</v>
      </c>
      <c r="B120" t="str">
        <f>VLOOKUP($A120,Szamlaszamok!$A119:F1675,2,FALSE)</f>
      </c>
      <c r="C120" t="str">
        <f>VLOOKUP($A120,Szamlaszamok!$A119:F1675,3,FALSE)</f>
      </c>
      <c r="D120" t="str">
        <f>VLOOKUP($A120,Szamlaszamok!$A119:F1675,4,FALSE)</f>
      </c>
      <c r="E120" t="str">
        <f>DATE(YEAR(D120),MONTH(D120),DAY(D120))</f>
      </c>
      <c r="F120" t="str">
        <f>CONCATENATE(C120,E120)</f>
      </c>
      <c r="G120" t="str">
        <f>TIMEVALUE(D120)</f>
      </c>
      <c r="H120" t="str">
        <f>COUNTIF(Szamlaszamok!A:A,A120)</f>
      </c>
      <c r="I120" t="str">
        <f>SUMIFS(Szamlaszamok!E:E,Szamlaszamok!A:A,Szamlaszamok_nonduplicate!A120)</f>
      </c>
    </row>
    <row r="121" spans="1:9">
      <c r="A121" t="s">
        <v>473</v>
      </c>
      <c r="B121" t="str">
        <f>VLOOKUP($A121,Szamlaszamok!$A120:F1676,2,FALSE)</f>
      </c>
      <c r="C121" t="str">
        <f>VLOOKUP($A121,Szamlaszamok!$A120:F1676,3,FALSE)</f>
      </c>
      <c r="D121" t="str">
        <f>VLOOKUP($A121,Szamlaszamok!$A120:F1676,4,FALSE)</f>
      </c>
      <c r="E121" t="str">
        <f>DATE(YEAR(D121),MONTH(D121),DAY(D121))</f>
      </c>
      <c r="F121" t="str">
        <f>CONCATENATE(C121,E121)</f>
      </c>
      <c r="G121" t="str">
        <f>TIMEVALUE(D121)</f>
      </c>
      <c r="H121" t="str">
        <f>COUNTIF(Szamlaszamok!A:A,A121)</f>
      </c>
      <c r="I121" t="str">
        <f>SUMIFS(Szamlaszamok!E:E,Szamlaszamok!A:A,Szamlaszamok_nonduplicate!A121)</f>
      </c>
    </row>
    <row r="122" spans="1:9">
      <c r="A122" t="s">
        <v>477</v>
      </c>
      <c r="B122" t="str">
        <f>VLOOKUP($A122,Szamlaszamok!$A121:F1677,2,FALSE)</f>
      </c>
      <c r="C122" t="str">
        <f>VLOOKUP($A122,Szamlaszamok!$A121:F1677,3,FALSE)</f>
      </c>
      <c r="D122" t="str">
        <f>VLOOKUP($A122,Szamlaszamok!$A121:F1677,4,FALSE)</f>
      </c>
      <c r="E122" t="str">
        <f>DATE(YEAR(D122),MONTH(D122),DAY(D122))</f>
      </c>
      <c r="F122" t="str">
        <f>CONCATENATE(C122,E122)</f>
      </c>
      <c r="G122" t="str">
        <f>TIMEVALUE(D122)</f>
      </c>
      <c r="H122" t="str">
        <f>COUNTIF(Szamlaszamok!A:A,A122)</f>
      </c>
      <c r="I122" t="str">
        <f>SUMIFS(Szamlaszamok!E:E,Szamlaszamok!A:A,Szamlaszamok_nonduplicate!A122)</f>
      </c>
    </row>
    <row r="123" spans="1:9">
      <c r="A123" t="s">
        <v>481</v>
      </c>
      <c r="B123" t="str">
        <f>VLOOKUP($A123,Szamlaszamok!$A122:F1678,2,FALSE)</f>
      </c>
      <c r="C123" t="str">
        <f>VLOOKUP($A123,Szamlaszamok!$A122:F1678,3,FALSE)</f>
      </c>
      <c r="D123" t="str">
        <f>VLOOKUP($A123,Szamlaszamok!$A122:F1678,4,FALSE)</f>
      </c>
      <c r="E123" t="str">
        <f>DATE(YEAR(D123),MONTH(D123),DAY(D123))</f>
      </c>
      <c r="F123" t="str">
        <f>CONCATENATE(C123,E123)</f>
      </c>
      <c r="G123" t="str">
        <f>TIMEVALUE(D123)</f>
      </c>
      <c r="H123" t="str">
        <f>COUNTIF(Szamlaszamok!A:A,A123)</f>
      </c>
      <c r="I123" t="str">
        <f>SUMIFS(Szamlaszamok!E:E,Szamlaszamok!A:A,Szamlaszamok_nonduplicate!A123)</f>
      </c>
    </row>
    <row r="124" spans="1:9">
      <c r="A124" t="s">
        <v>484</v>
      </c>
      <c r="B124" t="str">
        <f>VLOOKUP($A124,Szamlaszamok!$A123:F1679,2,FALSE)</f>
      </c>
      <c r="C124" t="str">
        <f>VLOOKUP($A124,Szamlaszamok!$A123:F1679,3,FALSE)</f>
      </c>
      <c r="D124" t="str">
        <f>VLOOKUP($A124,Szamlaszamok!$A123:F1679,4,FALSE)</f>
      </c>
      <c r="E124" t="str">
        <f>DATE(YEAR(D124),MONTH(D124),DAY(D124))</f>
      </c>
      <c r="F124" t="str">
        <f>CONCATENATE(C124,E124)</f>
      </c>
      <c r="G124" t="str">
        <f>TIMEVALUE(D124)</f>
      </c>
      <c r="H124" t="str">
        <f>COUNTIF(Szamlaszamok!A:A,A124)</f>
      </c>
      <c r="I124" t="str">
        <f>SUMIFS(Szamlaszamok!E:E,Szamlaszamok!A:A,Szamlaszamok_nonduplicate!A124)</f>
      </c>
    </row>
    <row r="125" spans="1:9">
      <c r="A125" t="s">
        <v>488</v>
      </c>
      <c r="B125" t="str">
        <f>VLOOKUP($A125,Szamlaszamok!$A124:F1680,2,FALSE)</f>
      </c>
      <c r="C125" t="str">
        <f>VLOOKUP($A125,Szamlaszamok!$A124:F1680,3,FALSE)</f>
      </c>
      <c r="D125" t="str">
        <f>VLOOKUP($A125,Szamlaszamok!$A124:F1680,4,FALSE)</f>
      </c>
      <c r="E125" t="str">
        <f>DATE(YEAR(D125),MONTH(D125),DAY(D125))</f>
      </c>
      <c r="F125" t="str">
        <f>CONCATENATE(C125,E125)</f>
      </c>
      <c r="G125" t="str">
        <f>TIMEVALUE(D125)</f>
      </c>
      <c r="H125" t="str">
        <f>COUNTIF(Szamlaszamok!A:A,A125)</f>
      </c>
      <c r="I125" t="str">
        <f>SUMIFS(Szamlaszamok!E:E,Szamlaszamok!A:A,Szamlaszamok_nonduplicate!A125)</f>
      </c>
    </row>
    <row r="126" spans="1:9">
      <c r="A126" t="s">
        <v>490</v>
      </c>
      <c r="B126" t="str">
        <f>VLOOKUP($A126,Szamlaszamok!$A125:F1681,2,FALSE)</f>
      </c>
      <c r="C126" t="str">
        <f>VLOOKUP($A126,Szamlaszamok!$A125:F1681,3,FALSE)</f>
      </c>
      <c r="D126" t="str">
        <f>VLOOKUP($A126,Szamlaszamok!$A125:F1681,4,FALSE)</f>
      </c>
      <c r="E126" t="str">
        <f>DATE(YEAR(D126),MONTH(D126),DAY(D126))</f>
      </c>
      <c r="F126" t="str">
        <f>CONCATENATE(C126,E126)</f>
      </c>
      <c r="G126" t="str">
        <f>TIMEVALUE(D126)</f>
      </c>
      <c r="H126" t="str">
        <f>COUNTIF(Szamlaszamok!A:A,A126)</f>
      </c>
      <c r="I126" t="str">
        <f>SUMIFS(Szamlaszamok!E:E,Szamlaszamok!A:A,Szamlaszamok_nonduplicate!A126)</f>
      </c>
    </row>
    <row r="127" spans="1:9">
      <c r="A127" t="s">
        <v>493</v>
      </c>
      <c r="B127" t="str">
        <f>VLOOKUP($A127,Szamlaszamok!$A126:F1682,2,FALSE)</f>
      </c>
      <c r="C127" t="str">
        <f>VLOOKUP($A127,Szamlaszamok!$A126:F1682,3,FALSE)</f>
      </c>
      <c r="D127" t="str">
        <f>VLOOKUP($A127,Szamlaszamok!$A126:F1682,4,FALSE)</f>
      </c>
      <c r="E127" t="str">
        <f>DATE(YEAR(D127),MONTH(D127),DAY(D127))</f>
      </c>
      <c r="F127" t="str">
        <f>CONCATENATE(C127,E127)</f>
      </c>
      <c r="G127" t="str">
        <f>TIMEVALUE(D127)</f>
      </c>
      <c r="H127" t="str">
        <f>COUNTIF(Szamlaszamok!A:A,A127)</f>
      </c>
      <c r="I127" t="str">
        <f>SUMIFS(Szamlaszamok!E:E,Szamlaszamok!A:A,Szamlaszamok_nonduplicate!A127)</f>
      </c>
    </row>
    <row r="128" spans="1:9">
      <c r="A128" t="s">
        <v>496</v>
      </c>
      <c r="B128" t="str">
        <f>VLOOKUP($A128,Szamlaszamok!$A127:F1683,2,FALSE)</f>
      </c>
      <c r="C128" t="str">
        <f>VLOOKUP($A128,Szamlaszamok!$A127:F1683,3,FALSE)</f>
      </c>
      <c r="D128" t="str">
        <f>VLOOKUP($A128,Szamlaszamok!$A127:F1683,4,FALSE)</f>
      </c>
      <c r="E128" t="str">
        <f>DATE(YEAR(D128),MONTH(D128),DAY(D128))</f>
      </c>
      <c r="F128" t="str">
        <f>CONCATENATE(C128,E128)</f>
      </c>
      <c r="G128" t="str">
        <f>TIMEVALUE(D128)</f>
      </c>
      <c r="H128" t="str">
        <f>COUNTIF(Szamlaszamok!A:A,A128)</f>
      </c>
      <c r="I128" t="str">
        <f>SUMIFS(Szamlaszamok!E:E,Szamlaszamok!A:A,Szamlaszamok_nonduplicate!A128)</f>
      </c>
    </row>
    <row r="129" spans="1:9">
      <c r="A129" t="s">
        <v>499</v>
      </c>
      <c r="B129" t="str">
        <f>VLOOKUP($A129,Szamlaszamok!$A128:F1684,2,FALSE)</f>
      </c>
      <c r="C129" t="str">
        <f>VLOOKUP($A129,Szamlaszamok!$A128:F1684,3,FALSE)</f>
      </c>
      <c r="D129" t="str">
        <f>VLOOKUP($A129,Szamlaszamok!$A128:F1684,4,FALSE)</f>
      </c>
      <c r="E129" t="str">
        <f>DATE(YEAR(D129),MONTH(D129),DAY(D129))</f>
      </c>
      <c r="F129" t="str">
        <f>CONCATENATE(C129,E129)</f>
      </c>
      <c r="G129" t="str">
        <f>TIMEVALUE(D129)</f>
      </c>
      <c r="H129" t="str">
        <f>COUNTIF(Szamlaszamok!A:A,A129)</f>
      </c>
      <c r="I129" t="str">
        <f>SUMIFS(Szamlaszamok!E:E,Szamlaszamok!A:A,Szamlaszamok_nonduplicate!A129)</f>
      </c>
    </row>
    <row r="130" spans="1:9">
      <c r="A130" t="s">
        <v>502</v>
      </c>
      <c r="B130" t="str">
        <f>VLOOKUP($A130,Szamlaszamok!$A129:F1685,2,FALSE)</f>
      </c>
      <c r="C130" t="str">
        <f>VLOOKUP($A130,Szamlaszamok!$A129:F1685,3,FALSE)</f>
      </c>
      <c r="D130" t="str">
        <f>VLOOKUP($A130,Szamlaszamok!$A129:F1685,4,FALSE)</f>
      </c>
      <c r="E130" t="str">
        <f>DATE(YEAR(D130),MONTH(D130),DAY(D130))</f>
      </c>
      <c r="F130" t="str">
        <f>CONCATENATE(C130,E130)</f>
      </c>
      <c r="G130" t="str">
        <f>TIMEVALUE(D130)</f>
      </c>
      <c r="H130" t="str">
        <f>COUNTIF(Szamlaszamok!A:A,A130)</f>
      </c>
      <c r="I130" t="str">
        <f>SUMIFS(Szamlaszamok!E:E,Szamlaszamok!A:A,Szamlaszamok_nonduplicate!A130)</f>
      </c>
    </row>
    <row r="131" spans="1:9">
      <c r="A131" t="s">
        <v>506</v>
      </c>
      <c r="B131" t="str">
        <f>VLOOKUP($A131,Szamlaszamok!$A130:F1686,2,FALSE)</f>
      </c>
      <c r="C131" t="str">
        <f>VLOOKUP($A131,Szamlaszamok!$A130:F1686,3,FALSE)</f>
      </c>
      <c r="D131" t="str">
        <f>VLOOKUP($A131,Szamlaszamok!$A130:F1686,4,FALSE)</f>
      </c>
      <c r="E131" t="str">
        <f>DATE(YEAR(D131),MONTH(D131),DAY(D131))</f>
      </c>
      <c r="F131" t="str">
        <f>CONCATENATE(C131,E131)</f>
      </c>
      <c r="G131" t="str">
        <f>TIMEVALUE(D131)</f>
      </c>
      <c r="H131" t="str">
        <f>COUNTIF(Szamlaszamok!A:A,A131)</f>
      </c>
      <c r="I131" t="str">
        <f>SUMIFS(Szamlaszamok!E:E,Szamlaszamok!A:A,Szamlaszamok_nonduplicate!A131)</f>
      </c>
    </row>
    <row r="132" spans="1:9">
      <c r="A132" t="s">
        <v>510</v>
      </c>
      <c r="B132" t="str">
        <f>VLOOKUP($A132,Szamlaszamok!$A131:F1687,2,FALSE)</f>
      </c>
      <c r="C132" t="str">
        <f>VLOOKUP($A132,Szamlaszamok!$A131:F1687,3,FALSE)</f>
      </c>
      <c r="D132" t="str">
        <f>VLOOKUP($A132,Szamlaszamok!$A131:F1687,4,FALSE)</f>
      </c>
      <c r="E132" t="str">
        <f>DATE(YEAR(D132),MONTH(D132),DAY(D132))</f>
      </c>
      <c r="F132" t="str">
        <f>CONCATENATE(C132,E132)</f>
      </c>
      <c r="G132" t="str">
        <f>TIMEVALUE(D132)</f>
      </c>
      <c r="H132" t="str">
        <f>COUNTIF(Szamlaszamok!A:A,A132)</f>
      </c>
      <c r="I132" t="str">
        <f>SUMIFS(Szamlaszamok!E:E,Szamlaszamok!A:A,Szamlaszamok_nonduplicate!A132)</f>
      </c>
    </row>
    <row r="133" spans="1:9">
      <c r="A133" t="s">
        <v>514</v>
      </c>
      <c r="B133" t="str">
        <f>VLOOKUP($A133,Szamlaszamok!$A132:F1688,2,FALSE)</f>
      </c>
      <c r="C133" t="str">
        <f>VLOOKUP($A133,Szamlaszamok!$A132:F1688,3,FALSE)</f>
      </c>
      <c r="D133" t="str">
        <f>VLOOKUP($A133,Szamlaszamok!$A132:F1688,4,FALSE)</f>
      </c>
      <c r="E133" t="str">
        <f>DATE(YEAR(D133),MONTH(D133),DAY(D133))</f>
      </c>
      <c r="F133" t="str">
        <f>CONCATENATE(C133,E133)</f>
      </c>
      <c r="G133" t="str">
        <f>TIMEVALUE(D133)</f>
      </c>
      <c r="H133" t="str">
        <f>COUNTIF(Szamlaszamok!A:A,A133)</f>
      </c>
      <c r="I133" t="str">
        <f>SUMIFS(Szamlaszamok!E:E,Szamlaszamok!A:A,Szamlaszamok_nonduplicate!A133)</f>
      </c>
    </row>
    <row r="134" spans="1:9">
      <c r="A134" t="s">
        <v>517</v>
      </c>
      <c r="B134" t="str">
        <f>VLOOKUP($A134,Szamlaszamok!$A133:F1689,2,FALSE)</f>
      </c>
      <c r="C134" t="str">
        <f>VLOOKUP($A134,Szamlaszamok!$A133:F1689,3,FALSE)</f>
      </c>
      <c r="D134" t="str">
        <f>VLOOKUP($A134,Szamlaszamok!$A133:F1689,4,FALSE)</f>
      </c>
      <c r="E134" t="str">
        <f>DATE(YEAR(D134),MONTH(D134),DAY(D134))</f>
      </c>
      <c r="F134" t="str">
        <f>CONCATENATE(C134,E134)</f>
      </c>
      <c r="G134" t="str">
        <f>TIMEVALUE(D134)</f>
      </c>
      <c r="H134" t="str">
        <f>COUNTIF(Szamlaszamok!A:A,A134)</f>
      </c>
      <c r="I134" t="str">
        <f>SUMIFS(Szamlaszamok!E:E,Szamlaszamok!A:A,Szamlaszamok_nonduplicate!A134)</f>
      </c>
    </row>
    <row r="135" spans="1:9">
      <c r="A135" t="s">
        <v>519</v>
      </c>
      <c r="B135" t="str">
        <f>VLOOKUP($A135,Szamlaszamok!$A134:F1690,2,FALSE)</f>
      </c>
      <c r="C135" t="str">
        <f>VLOOKUP($A135,Szamlaszamok!$A134:F1690,3,FALSE)</f>
      </c>
      <c r="D135" t="str">
        <f>VLOOKUP($A135,Szamlaszamok!$A134:F1690,4,FALSE)</f>
      </c>
      <c r="E135" t="str">
        <f>DATE(YEAR(D135),MONTH(D135),DAY(D135))</f>
      </c>
      <c r="F135" t="str">
        <f>CONCATENATE(C135,E135)</f>
      </c>
      <c r="G135" t="str">
        <f>TIMEVALUE(D135)</f>
      </c>
      <c r="H135" t="str">
        <f>COUNTIF(Szamlaszamok!A:A,A135)</f>
      </c>
      <c r="I135" t="str">
        <f>SUMIFS(Szamlaszamok!E:E,Szamlaszamok!A:A,Szamlaszamok_nonduplicate!A135)</f>
      </c>
    </row>
    <row r="136" spans="1:9">
      <c r="A136" t="s">
        <v>520</v>
      </c>
      <c r="B136" t="str">
        <f>VLOOKUP($A136,Szamlaszamok!$A135:F1691,2,FALSE)</f>
      </c>
      <c r="C136" t="str">
        <f>VLOOKUP($A136,Szamlaszamok!$A135:F1691,3,FALSE)</f>
      </c>
      <c r="D136" t="str">
        <f>VLOOKUP($A136,Szamlaszamok!$A135:F1691,4,FALSE)</f>
      </c>
      <c r="E136" t="str">
        <f>DATE(YEAR(D136),MONTH(D136),DAY(D136))</f>
      </c>
      <c r="F136" t="str">
        <f>CONCATENATE(C136,E136)</f>
      </c>
      <c r="G136" t="str">
        <f>TIMEVALUE(D136)</f>
      </c>
      <c r="H136" t="str">
        <f>COUNTIF(Szamlaszamok!A:A,A136)</f>
      </c>
      <c r="I136" t="str">
        <f>SUMIFS(Szamlaszamok!E:E,Szamlaszamok!A:A,Szamlaszamok_nonduplicate!A136)</f>
      </c>
    </row>
    <row r="137" spans="1:9">
      <c r="A137" t="s">
        <v>523</v>
      </c>
      <c r="B137" t="str">
        <f>VLOOKUP($A137,Szamlaszamok!$A136:F1692,2,FALSE)</f>
      </c>
      <c r="C137" t="str">
        <f>VLOOKUP($A137,Szamlaszamok!$A136:F1692,3,FALSE)</f>
      </c>
      <c r="D137" t="str">
        <f>VLOOKUP($A137,Szamlaszamok!$A136:F1692,4,FALSE)</f>
      </c>
      <c r="E137" t="str">
        <f>DATE(YEAR(D137),MONTH(D137),DAY(D137))</f>
      </c>
      <c r="F137" t="str">
        <f>CONCATENATE(C137,E137)</f>
      </c>
      <c r="G137" t="str">
        <f>TIMEVALUE(D137)</f>
      </c>
      <c r="H137" t="str">
        <f>COUNTIF(Szamlaszamok!A:A,A137)</f>
      </c>
      <c r="I137" t="str">
        <f>SUMIFS(Szamlaszamok!E:E,Szamlaszamok!A:A,Szamlaszamok_nonduplicate!A137)</f>
      </c>
    </row>
    <row r="138" spans="1:9">
      <c r="A138" t="s">
        <v>527</v>
      </c>
      <c r="B138" t="str">
        <f>VLOOKUP($A138,Szamlaszamok!$A137:F1693,2,FALSE)</f>
      </c>
      <c r="C138" t="str">
        <f>VLOOKUP($A138,Szamlaszamok!$A137:F1693,3,FALSE)</f>
      </c>
      <c r="D138" t="str">
        <f>VLOOKUP($A138,Szamlaszamok!$A137:F1693,4,FALSE)</f>
      </c>
      <c r="E138" t="str">
        <f>DATE(YEAR(D138),MONTH(D138),DAY(D138))</f>
      </c>
      <c r="F138" t="str">
        <f>CONCATENATE(C138,E138)</f>
      </c>
      <c r="G138" t="str">
        <f>TIMEVALUE(D138)</f>
      </c>
      <c r="H138" t="str">
        <f>COUNTIF(Szamlaszamok!A:A,A138)</f>
      </c>
      <c r="I138" t="str">
        <f>SUMIFS(Szamlaszamok!E:E,Szamlaszamok!A:A,Szamlaszamok_nonduplicate!A138)</f>
      </c>
    </row>
    <row r="139" spans="1:9">
      <c r="A139" t="s">
        <v>530</v>
      </c>
      <c r="B139" t="str">
        <f>VLOOKUP($A139,Szamlaszamok!$A138:F1694,2,FALSE)</f>
      </c>
      <c r="C139" t="str">
        <f>VLOOKUP($A139,Szamlaszamok!$A138:F1694,3,FALSE)</f>
      </c>
      <c r="D139" t="str">
        <f>VLOOKUP($A139,Szamlaszamok!$A138:F1694,4,FALSE)</f>
      </c>
      <c r="E139" t="str">
        <f>DATE(YEAR(D139),MONTH(D139),DAY(D139))</f>
      </c>
      <c r="F139" t="str">
        <f>CONCATENATE(C139,E139)</f>
      </c>
      <c r="G139" t="str">
        <f>TIMEVALUE(D139)</f>
      </c>
      <c r="H139" t="str">
        <f>COUNTIF(Szamlaszamok!A:A,A139)</f>
      </c>
      <c r="I139" t="str">
        <f>SUMIFS(Szamlaszamok!E:E,Szamlaszamok!A:A,Szamlaszamok_nonduplicate!A139)</f>
      </c>
    </row>
    <row r="140" spans="1:9">
      <c r="A140" t="s">
        <v>533</v>
      </c>
      <c r="B140" t="str">
        <f>VLOOKUP($A140,Szamlaszamok!$A139:F1695,2,FALSE)</f>
      </c>
      <c r="C140" t="str">
        <f>VLOOKUP($A140,Szamlaszamok!$A139:F1695,3,FALSE)</f>
      </c>
      <c r="D140" t="str">
        <f>VLOOKUP($A140,Szamlaszamok!$A139:F1695,4,FALSE)</f>
      </c>
      <c r="E140" t="str">
        <f>DATE(YEAR(D140),MONTH(D140),DAY(D140))</f>
      </c>
      <c r="F140" t="str">
        <f>CONCATENATE(C140,E140)</f>
      </c>
      <c r="G140" t="str">
        <f>TIMEVALUE(D140)</f>
      </c>
      <c r="H140" t="str">
        <f>COUNTIF(Szamlaszamok!A:A,A140)</f>
      </c>
      <c r="I140" t="str">
        <f>SUMIFS(Szamlaszamok!E:E,Szamlaszamok!A:A,Szamlaszamok_nonduplicate!A140)</f>
      </c>
    </row>
    <row r="141" spans="1:9">
      <c r="A141" t="s">
        <v>536</v>
      </c>
      <c r="B141" t="str">
        <f>VLOOKUP($A141,Szamlaszamok!$A140:F1696,2,FALSE)</f>
      </c>
      <c r="C141" t="str">
        <f>VLOOKUP($A141,Szamlaszamok!$A140:F1696,3,FALSE)</f>
      </c>
      <c r="D141" t="str">
        <f>VLOOKUP($A141,Szamlaszamok!$A140:F1696,4,FALSE)</f>
      </c>
      <c r="E141" t="str">
        <f>DATE(YEAR(D141),MONTH(D141),DAY(D141))</f>
      </c>
      <c r="F141" t="str">
        <f>CONCATENATE(C141,E141)</f>
      </c>
      <c r="G141" t="str">
        <f>TIMEVALUE(D141)</f>
      </c>
      <c r="H141" t="str">
        <f>COUNTIF(Szamlaszamok!A:A,A141)</f>
      </c>
      <c r="I141" t="str">
        <f>SUMIFS(Szamlaszamok!E:E,Szamlaszamok!A:A,Szamlaszamok_nonduplicate!A141)</f>
      </c>
    </row>
    <row r="142" spans="1:9">
      <c r="A142" t="s">
        <v>540</v>
      </c>
      <c r="B142" t="str">
        <f>VLOOKUP($A142,Szamlaszamok!$A141:F1697,2,FALSE)</f>
      </c>
      <c r="C142" t="str">
        <f>VLOOKUP($A142,Szamlaszamok!$A141:F1697,3,FALSE)</f>
      </c>
      <c r="D142" t="str">
        <f>VLOOKUP($A142,Szamlaszamok!$A141:F1697,4,FALSE)</f>
      </c>
      <c r="E142" t="str">
        <f>DATE(YEAR(D142),MONTH(D142),DAY(D142))</f>
      </c>
      <c r="F142" t="str">
        <f>CONCATENATE(C142,E142)</f>
      </c>
      <c r="G142" t="str">
        <f>TIMEVALUE(D142)</f>
      </c>
      <c r="H142" t="str">
        <f>COUNTIF(Szamlaszamok!A:A,A142)</f>
      </c>
      <c r="I142" t="str">
        <f>SUMIFS(Szamlaszamok!E:E,Szamlaszamok!A:A,Szamlaszamok_nonduplicate!A142)</f>
      </c>
    </row>
    <row r="143" spans="1:9">
      <c r="A143" t="s">
        <v>543</v>
      </c>
      <c r="B143" t="str">
        <f>VLOOKUP($A143,Szamlaszamok!$A142:F1698,2,FALSE)</f>
      </c>
      <c r="C143" t="str">
        <f>VLOOKUP($A143,Szamlaszamok!$A142:F1698,3,FALSE)</f>
      </c>
      <c r="D143" t="str">
        <f>VLOOKUP($A143,Szamlaszamok!$A142:F1698,4,FALSE)</f>
      </c>
      <c r="E143" t="str">
        <f>DATE(YEAR(D143),MONTH(D143),DAY(D143))</f>
      </c>
      <c r="F143" t="str">
        <f>CONCATENATE(C143,E143)</f>
      </c>
      <c r="G143" t="str">
        <f>TIMEVALUE(D143)</f>
      </c>
      <c r="H143" t="str">
        <f>COUNTIF(Szamlaszamok!A:A,A143)</f>
      </c>
      <c r="I143" t="str">
        <f>SUMIFS(Szamlaszamok!E:E,Szamlaszamok!A:A,Szamlaszamok_nonduplicate!A143)</f>
      </c>
    </row>
    <row r="144" spans="1:9">
      <c r="A144" t="s">
        <v>546</v>
      </c>
      <c r="B144" t="str">
        <f>VLOOKUP($A144,Szamlaszamok!$A143:F1699,2,FALSE)</f>
      </c>
      <c r="C144" t="str">
        <f>VLOOKUP($A144,Szamlaszamok!$A143:F1699,3,FALSE)</f>
      </c>
      <c r="D144" t="str">
        <f>VLOOKUP($A144,Szamlaszamok!$A143:F1699,4,FALSE)</f>
      </c>
      <c r="E144" t="str">
        <f>DATE(YEAR(D144),MONTH(D144),DAY(D144))</f>
      </c>
      <c r="F144" t="str">
        <f>CONCATENATE(C144,E144)</f>
      </c>
      <c r="G144" t="str">
        <f>TIMEVALUE(D144)</f>
      </c>
      <c r="H144" t="str">
        <f>COUNTIF(Szamlaszamok!A:A,A144)</f>
      </c>
      <c r="I144" t="str">
        <f>SUMIFS(Szamlaszamok!E:E,Szamlaszamok!A:A,Szamlaszamok_nonduplicate!A144)</f>
      </c>
    </row>
    <row r="145" spans="1:9">
      <c r="A145" t="s">
        <v>550</v>
      </c>
      <c r="B145" t="str">
        <f>VLOOKUP($A145,Szamlaszamok!$A144:F1700,2,FALSE)</f>
      </c>
      <c r="C145" t="str">
        <f>VLOOKUP($A145,Szamlaszamok!$A144:F1700,3,FALSE)</f>
      </c>
      <c r="D145" t="str">
        <f>VLOOKUP($A145,Szamlaszamok!$A144:F1700,4,FALSE)</f>
      </c>
      <c r="E145" t="str">
        <f>DATE(YEAR(D145),MONTH(D145),DAY(D145))</f>
      </c>
      <c r="F145" t="str">
        <f>CONCATENATE(C145,E145)</f>
      </c>
      <c r="G145" t="str">
        <f>TIMEVALUE(D145)</f>
      </c>
      <c r="H145" t="str">
        <f>COUNTIF(Szamlaszamok!A:A,A145)</f>
      </c>
      <c r="I145" t="str">
        <f>SUMIFS(Szamlaszamok!E:E,Szamlaszamok!A:A,Szamlaszamok_nonduplicate!A145)</f>
      </c>
    </row>
    <row r="146" spans="1:9">
      <c r="A146" t="s">
        <v>553</v>
      </c>
      <c r="B146" t="str">
        <f>VLOOKUP($A146,Szamlaszamok!$A145:F1701,2,FALSE)</f>
      </c>
      <c r="C146" t="str">
        <f>VLOOKUP($A146,Szamlaszamok!$A145:F1701,3,FALSE)</f>
      </c>
      <c r="D146" t="str">
        <f>VLOOKUP($A146,Szamlaszamok!$A145:F1701,4,FALSE)</f>
      </c>
      <c r="E146" t="str">
        <f>DATE(YEAR(D146),MONTH(D146),DAY(D146))</f>
      </c>
      <c r="F146" t="str">
        <f>CONCATENATE(C146,E146)</f>
      </c>
      <c r="G146" t="str">
        <f>TIMEVALUE(D146)</f>
      </c>
      <c r="H146" t="str">
        <f>COUNTIF(Szamlaszamok!A:A,A146)</f>
      </c>
      <c r="I146" t="str">
        <f>SUMIFS(Szamlaszamok!E:E,Szamlaszamok!A:A,Szamlaszamok_nonduplicate!A146)</f>
      </c>
    </row>
    <row r="147" spans="1:9">
      <c r="A147" t="s">
        <v>557</v>
      </c>
      <c r="B147" t="str">
        <f>VLOOKUP($A147,Szamlaszamok!$A146:F1702,2,FALSE)</f>
      </c>
      <c r="C147" t="str">
        <f>VLOOKUP($A147,Szamlaszamok!$A146:F1702,3,FALSE)</f>
      </c>
      <c r="D147" t="str">
        <f>VLOOKUP($A147,Szamlaszamok!$A146:F1702,4,FALSE)</f>
      </c>
      <c r="E147" t="str">
        <f>DATE(YEAR(D147),MONTH(D147),DAY(D147))</f>
      </c>
      <c r="F147" t="str">
        <f>CONCATENATE(C147,E147)</f>
      </c>
      <c r="G147" t="str">
        <f>TIMEVALUE(D147)</f>
      </c>
      <c r="H147" t="str">
        <f>COUNTIF(Szamlaszamok!A:A,A147)</f>
      </c>
      <c r="I147" t="str">
        <f>SUMIFS(Szamlaszamok!E:E,Szamlaszamok!A:A,Szamlaszamok_nonduplicate!A147)</f>
      </c>
    </row>
    <row r="148" spans="1:9">
      <c r="A148" t="s">
        <v>561</v>
      </c>
      <c r="B148" t="str">
        <f>VLOOKUP($A148,Szamlaszamok!$A147:F1703,2,FALSE)</f>
      </c>
      <c r="C148" t="str">
        <f>VLOOKUP($A148,Szamlaszamok!$A147:F1703,3,FALSE)</f>
      </c>
      <c r="D148" t="str">
        <f>VLOOKUP($A148,Szamlaszamok!$A147:F1703,4,FALSE)</f>
      </c>
      <c r="E148" t="str">
        <f>DATE(YEAR(D148),MONTH(D148),DAY(D148))</f>
      </c>
      <c r="F148" t="str">
        <f>CONCATENATE(C148,E148)</f>
      </c>
      <c r="G148" t="str">
        <f>TIMEVALUE(D148)</f>
      </c>
      <c r="H148" t="str">
        <f>COUNTIF(Szamlaszamok!A:A,A148)</f>
      </c>
      <c r="I148" t="str">
        <f>SUMIFS(Szamlaszamok!E:E,Szamlaszamok!A:A,Szamlaszamok_nonduplicate!A148)</f>
      </c>
    </row>
    <row r="149" spans="1:9">
      <c r="A149" t="s">
        <v>564</v>
      </c>
      <c r="B149" t="str">
        <f>VLOOKUP($A149,Szamlaszamok!$A148:F1704,2,FALSE)</f>
      </c>
      <c r="C149" t="str">
        <f>VLOOKUP($A149,Szamlaszamok!$A148:F1704,3,FALSE)</f>
      </c>
      <c r="D149" t="str">
        <f>VLOOKUP($A149,Szamlaszamok!$A148:F1704,4,FALSE)</f>
      </c>
      <c r="E149" t="str">
        <f>DATE(YEAR(D149),MONTH(D149),DAY(D149))</f>
      </c>
      <c r="F149" t="str">
        <f>CONCATENATE(C149,E149)</f>
      </c>
      <c r="G149" t="str">
        <f>TIMEVALUE(D149)</f>
      </c>
      <c r="H149" t="str">
        <f>COUNTIF(Szamlaszamok!A:A,A149)</f>
      </c>
      <c r="I149" t="str">
        <f>SUMIFS(Szamlaszamok!E:E,Szamlaszamok!A:A,Szamlaszamok_nonduplicate!A149)</f>
      </c>
    </row>
    <row r="150" spans="1:9">
      <c r="A150" t="s">
        <v>568</v>
      </c>
      <c r="B150" t="str">
        <f>VLOOKUP($A150,Szamlaszamok!$A149:F1705,2,FALSE)</f>
      </c>
      <c r="C150" t="str">
        <f>VLOOKUP($A150,Szamlaszamok!$A149:F1705,3,FALSE)</f>
      </c>
      <c r="D150" t="str">
        <f>VLOOKUP($A150,Szamlaszamok!$A149:F1705,4,FALSE)</f>
      </c>
      <c r="E150" t="str">
        <f>DATE(YEAR(D150),MONTH(D150),DAY(D150))</f>
      </c>
      <c r="F150" t="str">
        <f>CONCATENATE(C150,E150)</f>
      </c>
      <c r="G150" t="str">
        <f>TIMEVALUE(D150)</f>
      </c>
      <c r="H150" t="str">
        <f>COUNTIF(Szamlaszamok!A:A,A150)</f>
      </c>
      <c r="I150" t="str">
        <f>SUMIFS(Szamlaszamok!E:E,Szamlaszamok!A:A,Szamlaszamok_nonduplicate!A150)</f>
      </c>
    </row>
    <row r="151" spans="1:9">
      <c r="A151" t="s">
        <v>571</v>
      </c>
      <c r="B151" t="str">
        <f>VLOOKUP($A151,Szamlaszamok!$A150:F1706,2,FALSE)</f>
      </c>
      <c r="C151" t="str">
        <f>VLOOKUP($A151,Szamlaszamok!$A150:F1706,3,FALSE)</f>
      </c>
      <c r="D151" t="str">
        <f>VLOOKUP($A151,Szamlaszamok!$A150:F1706,4,FALSE)</f>
      </c>
      <c r="E151" t="str">
        <f>DATE(YEAR(D151),MONTH(D151),DAY(D151))</f>
      </c>
      <c r="F151" t="str">
        <f>CONCATENATE(C151,E151)</f>
      </c>
      <c r="G151" t="str">
        <f>TIMEVALUE(D151)</f>
      </c>
      <c r="H151" t="str">
        <f>COUNTIF(Szamlaszamok!A:A,A151)</f>
      </c>
      <c r="I151" t="str">
        <f>SUMIFS(Szamlaszamok!E:E,Szamlaszamok!A:A,Szamlaszamok_nonduplicate!A151)</f>
      </c>
    </row>
    <row r="152" spans="1:9">
      <c r="A152" t="s">
        <v>574</v>
      </c>
      <c r="B152" t="str">
        <f>VLOOKUP($A152,Szamlaszamok!$A151:F1707,2,FALSE)</f>
      </c>
      <c r="C152" t="str">
        <f>VLOOKUP($A152,Szamlaszamok!$A151:F1707,3,FALSE)</f>
      </c>
      <c r="D152" t="str">
        <f>VLOOKUP($A152,Szamlaszamok!$A151:F1707,4,FALSE)</f>
      </c>
      <c r="E152" t="str">
        <f>DATE(YEAR(D152),MONTH(D152),DAY(D152))</f>
      </c>
      <c r="F152" t="str">
        <f>CONCATENATE(C152,E152)</f>
      </c>
      <c r="G152" t="str">
        <f>TIMEVALUE(D152)</f>
      </c>
      <c r="H152" t="str">
        <f>COUNTIF(Szamlaszamok!A:A,A152)</f>
      </c>
      <c r="I152" t="str">
        <f>SUMIFS(Szamlaszamok!E:E,Szamlaszamok!A:A,Szamlaszamok_nonduplicate!A152)</f>
      </c>
    </row>
    <row r="153" spans="1:9">
      <c r="A153" t="s">
        <v>578</v>
      </c>
      <c r="B153" t="str">
        <f>VLOOKUP($A153,Szamlaszamok!$A152:F1708,2,FALSE)</f>
      </c>
      <c r="C153" t="str">
        <f>VLOOKUP($A153,Szamlaszamok!$A152:F1708,3,FALSE)</f>
      </c>
      <c r="D153" t="str">
        <f>VLOOKUP($A153,Szamlaszamok!$A152:F1708,4,FALSE)</f>
      </c>
      <c r="E153" t="str">
        <f>DATE(YEAR(D153),MONTH(D153),DAY(D153))</f>
      </c>
      <c r="F153" t="str">
        <f>CONCATENATE(C153,E153)</f>
      </c>
      <c r="G153" t="str">
        <f>TIMEVALUE(D153)</f>
      </c>
      <c r="H153" t="str">
        <f>COUNTIF(Szamlaszamok!A:A,A153)</f>
      </c>
      <c r="I153" t="str">
        <f>SUMIFS(Szamlaszamok!E:E,Szamlaszamok!A:A,Szamlaszamok_nonduplicate!A153)</f>
      </c>
    </row>
    <row r="154" spans="1:9">
      <c r="A154" t="s">
        <v>581</v>
      </c>
      <c r="B154" t="str">
        <f>VLOOKUP($A154,Szamlaszamok!$A153:F1709,2,FALSE)</f>
      </c>
      <c r="C154" t="str">
        <f>VLOOKUP($A154,Szamlaszamok!$A153:F1709,3,FALSE)</f>
      </c>
      <c r="D154" t="str">
        <f>VLOOKUP($A154,Szamlaszamok!$A153:F1709,4,FALSE)</f>
      </c>
      <c r="E154" t="str">
        <f>DATE(YEAR(D154),MONTH(D154),DAY(D154))</f>
      </c>
      <c r="F154" t="str">
        <f>CONCATENATE(C154,E154)</f>
      </c>
      <c r="G154" t="str">
        <f>TIMEVALUE(D154)</f>
      </c>
      <c r="H154" t="str">
        <f>COUNTIF(Szamlaszamok!A:A,A154)</f>
      </c>
      <c r="I154" t="str">
        <f>SUMIFS(Szamlaszamok!E:E,Szamlaszamok!A:A,Szamlaszamok_nonduplicate!A154)</f>
      </c>
    </row>
    <row r="155" spans="1:9">
      <c r="A155" t="s">
        <v>584</v>
      </c>
      <c r="B155" t="str">
        <f>VLOOKUP($A155,Szamlaszamok!$A154:F1710,2,FALSE)</f>
      </c>
      <c r="C155" t="str">
        <f>VLOOKUP($A155,Szamlaszamok!$A154:F1710,3,FALSE)</f>
      </c>
      <c r="D155" t="str">
        <f>VLOOKUP($A155,Szamlaszamok!$A154:F1710,4,FALSE)</f>
      </c>
      <c r="E155" t="str">
        <f>DATE(YEAR(D155),MONTH(D155),DAY(D155))</f>
      </c>
      <c r="F155" t="str">
        <f>CONCATENATE(C155,E155)</f>
      </c>
      <c r="G155" t="str">
        <f>TIMEVALUE(D155)</f>
      </c>
      <c r="H155" t="str">
        <f>COUNTIF(Szamlaszamok!A:A,A155)</f>
      </c>
      <c r="I155" t="str">
        <f>SUMIFS(Szamlaszamok!E:E,Szamlaszamok!A:A,Szamlaszamok_nonduplicate!A155)</f>
      </c>
    </row>
    <row r="156" spans="1:9">
      <c r="A156" t="s">
        <v>587</v>
      </c>
      <c r="B156" t="str">
        <f>VLOOKUP($A156,Szamlaszamok!$A155:F1711,2,FALSE)</f>
      </c>
      <c r="C156" t="str">
        <f>VLOOKUP($A156,Szamlaszamok!$A155:F1711,3,FALSE)</f>
      </c>
      <c r="D156" t="str">
        <f>VLOOKUP($A156,Szamlaszamok!$A155:F1711,4,FALSE)</f>
      </c>
      <c r="E156" t="str">
        <f>DATE(YEAR(D156),MONTH(D156),DAY(D156))</f>
      </c>
      <c r="F156" t="str">
        <f>CONCATENATE(C156,E156)</f>
      </c>
      <c r="G156" t="str">
        <f>TIMEVALUE(D156)</f>
      </c>
      <c r="H156" t="str">
        <f>COUNTIF(Szamlaszamok!A:A,A156)</f>
      </c>
      <c r="I156" t="str">
        <f>SUMIFS(Szamlaszamok!E:E,Szamlaszamok!A:A,Szamlaszamok_nonduplicate!A156)</f>
      </c>
    </row>
    <row r="157" spans="1:9">
      <c r="A157" t="s">
        <v>590</v>
      </c>
      <c r="B157" t="str">
        <f>VLOOKUP($A157,Szamlaszamok!$A156:F1712,2,FALSE)</f>
      </c>
      <c r="C157" t="str">
        <f>VLOOKUP($A157,Szamlaszamok!$A156:F1712,3,FALSE)</f>
      </c>
      <c r="D157" t="str">
        <f>VLOOKUP($A157,Szamlaszamok!$A156:F1712,4,FALSE)</f>
      </c>
      <c r="E157" t="str">
        <f>DATE(YEAR(D157),MONTH(D157),DAY(D157))</f>
      </c>
      <c r="F157" t="str">
        <f>CONCATENATE(C157,E157)</f>
      </c>
      <c r="G157" t="str">
        <f>TIMEVALUE(D157)</f>
      </c>
      <c r="H157" t="str">
        <f>COUNTIF(Szamlaszamok!A:A,A157)</f>
      </c>
      <c r="I157" t="str">
        <f>SUMIFS(Szamlaszamok!E:E,Szamlaszamok!A:A,Szamlaszamok_nonduplicate!A157)</f>
      </c>
    </row>
    <row r="158" spans="1:9">
      <c r="A158" t="s">
        <v>594</v>
      </c>
      <c r="B158" t="str">
        <f>VLOOKUP($A158,Szamlaszamok!$A157:F1713,2,FALSE)</f>
      </c>
      <c r="C158" t="str">
        <f>VLOOKUP($A158,Szamlaszamok!$A157:F1713,3,FALSE)</f>
      </c>
      <c r="D158" t="str">
        <f>VLOOKUP($A158,Szamlaszamok!$A157:F1713,4,FALSE)</f>
      </c>
      <c r="E158" t="str">
        <f>DATE(YEAR(D158),MONTH(D158),DAY(D158))</f>
      </c>
      <c r="F158" t="str">
        <f>CONCATENATE(C158,E158)</f>
      </c>
      <c r="G158" t="str">
        <f>TIMEVALUE(D158)</f>
      </c>
      <c r="H158" t="str">
        <f>COUNTIF(Szamlaszamok!A:A,A158)</f>
      </c>
      <c r="I158" t="str">
        <f>SUMIFS(Szamlaszamok!E:E,Szamlaszamok!A:A,Szamlaszamok_nonduplicate!A158)</f>
      </c>
    </row>
    <row r="159" spans="1:9">
      <c r="A159" t="s">
        <v>597</v>
      </c>
      <c r="B159" t="str">
        <f>VLOOKUP($A159,Szamlaszamok!$A158:F1714,2,FALSE)</f>
      </c>
      <c r="C159" t="str">
        <f>VLOOKUP($A159,Szamlaszamok!$A158:F1714,3,FALSE)</f>
      </c>
      <c r="D159" t="str">
        <f>VLOOKUP($A159,Szamlaszamok!$A158:F1714,4,FALSE)</f>
      </c>
      <c r="E159" t="str">
        <f>DATE(YEAR(D159),MONTH(D159),DAY(D159))</f>
      </c>
      <c r="F159" t="str">
        <f>CONCATENATE(C159,E159)</f>
      </c>
      <c r="G159" t="str">
        <f>TIMEVALUE(D159)</f>
      </c>
      <c r="H159" t="str">
        <f>COUNTIF(Szamlaszamok!A:A,A159)</f>
      </c>
      <c r="I159" t="str">
        <f>SUMIFS(Szamlaszamok!E:E,Szamlaszamok!A:A,Szamlaszamok_nonduplicate!A159)</f>
      </c>
    </row>
    <row r="160" spans="1:9">
      <c r="A160" t="s">
        <v>600</v>
      </c>
      <c r="B160" t="str">
        <f>VLOOKUP($A160,Szamlaszamok!$A159:F1715,2,FALSE)</f>
      </c>
      <c r="C160" t="str">
        <f>VLOOKUP($A160,Szamlaszamok!$A159:F1715,3,FALSE)</f>
      </c>
      <c r="D160" t="str">
        <f>VLOOKUP($A160,Szamlaszamok!$A159:F1715,4,FALSE)</f>
      </c>
      <c r="E160" t="str">
        <f>DATE(YEAR(D160),MONTH(D160),DAY(D160))</f>
      </c>
      <c r="F160" t="str">
        <f>CONCATENATE(C160,E160)</f>
      </c>
      <c r="G160" t="str">
        <f>TIMEVALUE(D160)</f>
      </c>
      <c r="H160" t="str">
        <f>COUNTIF(Szamlaszamok!A:A,A160)</f>
      </c>
      <c r="I160" t="str">
        <f>SUMIFS(Szamlaszamok!E:E,Szamlaszamok!A:A,Szamlaszamok_nonduplicate!A160)</f>
      </c>
    </row>
    <row r="161" spans="1:9">
      <c r="A161" t="s">
        <v>603</v>
      </c>
      <c r="B161" t="str">
        <f>VLOOKUP($A161,Szamlaszamok!$A160:F1716,2,FALSE)</f>
      </c>
      <c r="C161" t="str">
        <f>VLOOKUP($A161,Szamlaszamok!$A160:F1716,3,FALSE)</f>
      </c>
      <c r="D161" t="str">
        <f>VLOOKUP($A161,Szamlaszamok!$A160:F1716,4,FALSE)</f>
      </c>
      <c r="E161" t="str">
        <f>DATE(YEAR(D161),MONTH(D161),DAY(D161))</f>
      </c>
      <c r="F161" t="str">
        <f>CONCATENATE(C161,E161)</f>
      </c>
      <c r="G161" t="str">
        <f>TIMEVALUE(D161)</f>
      </c>
      <c r="H161" t="str">
        <f>COUNTIF(Szamlaszamok!A:A,A161)</f>
      </c>
      <c r="I161" t="str">
        <f>SUMIFS(Szamlaszamok!E:E,Szamlaszamok!A:A,Szamlaszamok_nonduplicate!A161)</f>
      </c>
    </row>
    <row r="162" spans="1:9">
      <c r="A162" t="s">
        <v>607</v>
      </c>
      <c r="B162" t="str">
        <f>VLOOKUP($A162,Szamlaszamok!$A161:F1717,2,FALSE)</f>
      </c>
      <c r="C162" t="str">
        <f>VLOOKUP($A162,Szamlaszamok!$A161:F1717,3,FALSE)</f>
      </c>
      <c r="D162" t="str">
        <f>VLOOKUP($A162,Szamlaszamok!$A161:F1717,4,FALSE)</f>
      </c>
      <c r="E162" t="str">
        <f>DATE(YEAR(D162),MONTH(D162),DAY(D162))</f>
      </c>
      <c r="F162" t="str">
        <f>CONCATENATE(C162,E162)</f>
      </c>
      <c r="G162" t="str">
        <f>TIMEVALUE(D162)</f>
      </c>
      <c r="H162" t="str">
        <f>COUNTIF(Szamlaszamok!A:A,A162)</f>
      </c>
      <c r="I162" t="str">
        <f>SUMIFS(Szamlaszamok!E:E,Szamlaszamok!A:A,Szamlaszamok_nonduplicate!A162)</f>
      </c>
    </row>
    <row r="163" spans="1:9">
      <c r="A163" t="s">
        <v>611</v>
      </c>
      <c r="B163" t="str">
        <f>VLOOKUP($A163,Szamlaszamok!$A162:F1718,2,FALSE)</f>
      </c>
      <c r="C163" t="str">
        <f>VLOOKUP($A163,Szamlaszamok!$A162:F1718,3,FALSE)</f>
      </c>
      <c r="D163" t="str">
        <f>VLOOKUP($A163,Szamlaszamok!$A162:F1718,4,FALSE)</f>
      </c>
      <c r="E163" t="str">
        <f>DATE(YEAR(D163),MONTH(D163),DAY(D163))</f>
      </c>
      <c r="F163" t="str">
        <f>CONCATENATE(C163,E163)</f>
      </c>
      <c r="G163" t="str">
        <f>TIMEVALUE(D163)</f>
      </c>
      <c r="H163" t="str">
        <f>COUNTIF(Szamlaszamok!A:A,A163)</f>
      </c>
      <c r="I163" t="str">
        <f>SUMIFS(Szamlaszamok!E:E,Szamlaszamok!A:A,Szamlaszamok_nonduplicate!A163)</f>
      </c>
    </row>
    <row r="164" spans="1:9">
      <c r="A164" t="s">
        <v>614</v>
      </c>
      <c r="B164" t="str">
        <f>VLOOKUP($A164,Szamlaszamok!$A163:F1719,2,FALSE)</f>
      </c>
      <c r="C164" t="str">
        <f>VLOOKUP($A164,Szamlaszamok!$A163:F1719,3,FALSE)</f>
      </c>
      <c r="D164" t="str">
        <f>VLOOKUP($A164,Szamlaszamok!$A163:F1719,4,FALSE)</f>
      </c>
      <c r="E164" t="str">
        <f>DATE(YEAR(D164),MONTH(D164),DAY(D164))</f>
      </c>
      <c r="F164" t="str">
        <f>CONCATENATE(C164,E164)</f>
      </c>
      <c r="G164" t="str">
        <f>TIMEVALUE(D164)</f>
      </c>
      <c r="H164" t="str">
        <f>COUNTIF(Szamlaszamok!A:A,A164)</f>
      </c>
      <c r="I164" t="str">
        <f>SUMIFS(Szamlaszamok!E:E,Szamlaszamok!A:A,Szamlaszamok_nonduplicate!A164)</f>
      </c>
    </row>
    <row r="165" spans="1:9">
      <c r="A165" t="s">
        <v>618</v>
      </c>
      <c r="B165" t="str">
        <f>VLOOKUP($A165,Szamlaszamok!$A164:F1720,2,FALSE)</f>
      </c>
      <c r="C165" t="str">
        <f>VLOOKUP($A165,Szamlaszamok!$A164:F1720,3,FALSE)</f>
      </c>
      <c r="D165" t="str">
        <f>VLOOKUP($A165,Szamlaszamok!$A164:F1720,4,FALSE)</f>
      </c>
      <c r="E165" t="str">
        <f>DATE(YEAR(D165),MONTH(D165),DAY(D165))</f>
      </c>
      <c r="F165" t="str">
        <f>CONCATENATE(C165,E165)</f>
      </c>
      <c r="G165" t="str">
        <f>TIMEVALUE(D165)</f>
      </c>
      <c r="H165" t="str">
        <f>COUNTIF(Szamlaszamok!A:A,A165)</f>
      </c>
      <c r="I165" t="str">
        <f>SUMIFS(Szamlaszamok!E:E,Szamlaszamok!A:A,Szamlaszamok_nonduplicate!A165)</f>
      </c>
    </row>
    <row r="166" spans="1:9">
      <c r="A166" t="s">
        <v>622</v>
      </c>
      <c r="B166" t="str">
        <f>VLOOKUP($A166,Szamlaszamok!$A165:F1721,2,FALSE)</f>
      </c>
      <c r="C166" t="str">
        <f>VLOOKUP($A166,Szamlaszamok!$A165:F1721,3,FALSE)</f>
      </c>
      <c r="D166" t="str">
        <f>VLOOKUP($A166,Szamlaszamok!$A165:F1721,4,FALSE)</f>
      </c>
      <c r="E166" t="str">
        <f>DATE(YEAR(D166),MONTH(D166),DAY(D166))</f>
      </c>
      <c r="F166" t="str">
        <f>CONCATENATE(C166,E166)</f>
      </c>
      <c r="G166" t="str">
        <f>TIMEVALUE(D166)</f>
      </c>
      <c r="H166" t="str">
        <f>COUNTIF(Szamlaszamok!A:A,A166)</f>
      </c>
      <c r="I166" t="str">
        <f>SUMIFS(Szamlaszamok!E:E,Szamlaszamok!A:A,Szamlaszamok_nonduplicate!A166)</f>
      </c>
    </row>
    <row r="167" spans="1:9">
      <c r="A167" t="s">
        <v>626</v>
      </c>
      <c r="B167" t="str">
        <f>VLOOKUP($A167,Szamlaszamok!$A166:F1722,2,FALSE)</f>
      </c>
      <c r="C167" t="str">
        <f>VLOOKUP($A167,Szamlaszamok!$A166:F1722,3,FALSE)</f>
      </c>
      <c r="D167" t="str">
        <f>VLOOKUP($A167,Szamlaszamok!$A166:F1722,4,FALSE)</f>
      </c>
      <c r="E167" t="str">
        <f>DATE(YEAR(D167),MONTH(D167),DAY(D167))</f>
      </c>
      <c r="F167" t="str">
        <f>CONCATENATE(C167,E167)</f>
      </c>
      <c r="G167" t="str">
        <f>TIMEVALUE(D167)</f>
      </c>
      <c r="H167" t="str">
        <f>COUNTIF(Szamlaszamok!A:A,A167)</f>
      </c>
      <c r="I167" t="str">
        <f>SUMIFS(Szamlaszamok!E:E,Szamlaszamok!A:A,Szamlaszamok_nonduplicate!A167)</f>
      </c>
    </row>
    <row r="168" spans="1:9">
      <c r="A168" t="s">
        <v>630</v>
      </c>
      <c r="B168" t="str">
        <f>VLOOKUP($A168,Szamlaszamok!$A167:F1723,2,FALSE)</f>
      </c>
      <c r="C168" t="str">
        <f>VLOOKUP($A168,Szamlaszamok!$A167:F1723,3,FALSE)</f>
      </c>
      <c r="D168" t="str">
        <f>VLOOKUP($A168,Szamlaszamok!$A167:F1723,4,FALSE)</f>
      </c>
      <c r="E168" t="str">
        <f>DATE(YEAR(D168),MONTH(D168),DAY(D168))</f>
      </c>
      <c r="F168" t="str">
        <f>CONCATENATE(C168,E168)</f>
      </c>
      <c r="G168" t="str">
        <f>TIMEVALUE(D168)</f>
      </c>
      <c r="H168" t="str">
        <f>COUNTIF(Szamlaszamok!A:A,A168)</f>
      </c>
      <c r="I168" t="str">
        <f>SUMIFS(Szamlaszamok!E:E,Szamlaszamok!A:A,Szamlaszamok_nonduplicate!A168)</f>
      </c>
    </row>
    <row r="169" spans="1:9">
      <c r="A169" t="s">
        <v>633</v>
      </c>
      <c r="B169" t="str">
        <f>VLOOKUP($A169,Szamlaszamok!$A168:F1724,2,FALSE)</f>
      </c>
      <c r="C169" t="str">
        <f>VLOOKUP($A169,Szamlaszamok!$A168:F1724,3,FALSE)</f>
      </c>
      <c r="D169" t="str">
        <f>VLOOKUP($A169,Szamlaszamok!$A168:F1724,4,FALSE)</f>
      </c>
      <c r="E169" t="str">
        <f>DATE(YEAR(D169),MONTH(D169),DAY(D169))</f>
      </c>
      <c r="F169" t="str">
        <f>CONCATENATE(C169,E169)</f>
      </c>
      <c r="G169" t="str">
        <f>TIMEVALUE(D169)</f>
      </c>
      <c r="H169" t="str">
        <f>COUNTIF(Szamlaszamok!A:A,A169)</f>
      </c>
      <c r="I169" t="str">
        <f>SUMIFS(Szamlaszamok!E:E,Szamlaszamok!A:A,Szamlaszamok_nonduplicate!A169)</f>
      </c>
    </row>
    <row r="170" spans="1:9">
      <c r="A170" t="s">
        <v>636</v>
      </c>
      <c r="B170" t="str">
        <f>VLOOKUP($A170,Szamlaszamok!$A169:F1725,2,FALSE)</f>
      </c>
      <c r="C170" t="str">
        <f>VLOOKUP($A170,Szamlaszamok!$A169:F1725,3,FALSE)</f>
      </c>
      <c r="D170" t="str">
        <f>VLOOKUP($A170,Szamlaszamok!$A169:F1725,4,FALSE)</f>
      </c>
      <c r="E170" t="str">
        <f>DATE(YEAR(D170),MONTH(D170),DAY(D170))</f>
      </c>
      <c r="F170" t="str">
        <f>CONCATENATE(C170,E170)</f>
      </c>
      <c r="G170" t="str">
        <f>TIMEVALUE(D170)</f>
      </c>
      <c r="H170" t="str">
        <f>COUNTIF(Szamlaszamok!A:A,A170)</f>
      </c>
      <c r="I170" t="str">
        <f>SUMIFS(Szamlaszamok!E:E,Szamlaszamok!A:A,Szamlaszamok_nonduplicate!A170)</f>
      </c>
    </row>
    <row r="171" spans="1:9">
      <c r="A171" t="s">
        <v>639</v>
      </c>
      <c r="B171" t="str">
        <f>VLOOKUP($A171,Szamlaszamok!$A170:F1726,2,FALSE)</f>
      </c>
      <c r="C171" t="str">
        <f>VLOOKUP($A171,Szamlaszamok!$A170:F1726,3,FALSE)</f>
      </c>
      <c r="D171" t="str">
        <f>VLOOKUP($A171,Szamlaszamok!$A170:F1726,4,FALSE)</f>
      </c>
      <c r="E171" t="str">
        <f>DATE(YEAR(D171),MONTH(D171),DAY(D171))</f>
      </c>
      <c r="F171" t="str">
        <f>CONCATENATE(C171,E171)</f>
      </c>
      <c r="G171" t="str">
        <f>TIMEVALUE(D171)</f>
      </c>
      <c r="H171" t="str">
        <f>COUNTIF(Szamlaszamok!A:A,A171)</f>
      </c>
      <c r="I171" t="str">
        <f>SUMIFS(Szamlaszamok!E:E,Szamlaszamok!A:A,Szamlaszamok_nonduplicate!A171)</f>
      </c>
    </row>
    <row r="172" spans="1:9">
      <c r="A172" t="s">
        <v>642</v>
      </c>
      <c r="B172" t="str">
        <f>VLOOKUP($A172,Szamlaszamok!$A171:F1727,2,FALSE)</f>
      </c>
      <c r="C172" t="str">
        <f>VLOOKUP($A172,Szamlaszamok!$A171:F1727,3,FALSE)</f>
      </c>
      <c r="D172" t="str">
        <f>VLOOKUP($A172,Szamlaszamok!$A171:F1727,4,FALSE)</f>
      </c>
      <c r="E172" t="str">
        <f>DATE(YEAR(D172),MONTH(D172),DAY(D172))</f>
      </c>
      <c r="F172" t="str">
        <f>CONCATENATE(C172,E172)</f>
      </c>
      <c r="G172" t="str">
        <f>TIMEVALUE(D172)</f>
      </c>
      <c r="H172" t="str">
        <f>COUNTIF(Szamlaszamok!A:A,A172)</f>
      </c>
      <c r="I172" t="str">
        <f>SUMIFS(Szamlaszamok!E:E,Szamlaszamok!A:A,Szamlaszamok_nonduplicate!A172)</f>
      </c>
    </row>
    <row r="173" spans="1:9">
      <c r="A173" t="s">
        <v>645</v>
      </c>
      <c r="B173" t="str">
        <f>VLOOKUP($A173,Szamlaszamok!$A172:F1728,2,FALSE)</f>
      </c>
      <c r="C173" t="str">
        <f>VLOOKUP($A173,Szamlaszamok!$A172:F1728,3,FALSE)</f>
      </c>
      <c r="D173" t="str">
        <f>VLOOKUP($A173,Szamlaszamok!$A172:F1728,4,FALSE)</f>
      </c>
      <c r="E173" t="str">
        <f>DATE(YEAR(D173),MONTH(D173),DAY(D173))</f>
      </c>
      <c r="F173" t="str">
        <f>CONCATENATE(C173,E173)</f>
      </c>
      <c r="G173" t="str">
        <f>TIMEVALUE(D173)</f>
      </c>
      <c r="H173" t="str">
        <f>COUNTIF(Szamlaszamok!A:A,A173)</f>
      </c>
      <c r="I173" t="str">
        <f>SUMIFS(Szamlaszamok!E:E,Szamlaszamok!A:A,Szamlaszamok_nonduplicate!A173)</f>
      </c>
    </row>
    <row r="174" spans="1:9">
      <c r="A174" t="s">
        <v>648</v>
      </c>
      <c r="B174" t="str">
        <f>VLOOKUP($A174,Szamlaszamok!$A173:F1729,2,FALSE)</f>
      </c>
      <c r="C174" t="str">
        <f>VLOOKUP($A174,Szamlaszamok!$A173:F1729,3,FALSE)</f>
      </c>
      <c r="D174" t="str">
        <f>VLOOKUP($A174,Szamlaszamok!$A173:F1729,4,FALSE)</f>
      </c>
      <c r="E174" t="str">
        <f>DATE(YEAR(D174),MONTH(D174),DAY(D174))</f>
      </c>
      <c r="F174" t="str">
        <f>CONCATENATE(C174,E174)</f>
      </c>
      <c r="G174" t="str">
        <f>TIMEVALUE(D174)</f>
      </c>
      <c r="H174" t="str">
        <f>COUNTIF(Szamlaszamok!A:A,A174)</f>
      </c>
      <c r="I174" t="str">
        <f>SUMIFS(Szamlaszamok!E:E,Szamlaszamok!A:A,Szamlaszamok_nonduplicate!A174)</f>
      </c>
    </row>
    <row r="175" spans="1:9">
      <c r="A175" t="s">
        <v>652</v>
      </c>
      <c r="B175" t="str">
        <f>VLOOKUP($A175,Szamlaszamok!$A174:F1730,2,FALSE)</f>
      </c>
      <c r="C175" t="str">
        <f>VLOOKUP($A175,Szamlaszamok!$A174:F1730,3,FALSE)</f>
      </c>
      <c r="D175" t="str">
        <f>VLOOKUP($A175,Szamlaszamok!$A174:F1730,4,FALSE)</f>
      </c>
      <c r="E175" t="str">
        <f>DATE(YEAR(D175),MONTH(D175),DAY(D175))</f>
      </c>
      <c r="F175" t="str">
        <f>CONCATENATE(C175,E175)</f>
      </c>
      <c r="G175" t="str">
        <f>TIMEVALUE(D175)</f>
      </c>
      <c r="H175" t="str">
        <f>COUNTIF(Szamlaszamok!A:A,A175)</f>
      </c>
      <c r="I175" t="str">
        <f>SUMIFS(Szamlaszamok!E:E,Szamlaszamok!A:A,Szamlaszamok_nonduplicate!A175)</f>
      </c>
    </row>
    <row r="176" spans="1:9">
      <c r="A176" t="s">
        <v>655</v>
      </c>
      <c r="B176" t="str">
        <f>VLOOKUP($A176,Szamlaszamok!$A175:F1731,2,FALSE)</f>
      </c>
      <c r="C176" t="str">
        <f>VLOOKUP($A176,Szamlaszamok!$A175:F1731,3,FALSE)</f>
      </c>
      <c r="D176" t="str">
        <f>VLOOKUP($A176,Szamlaszamok!$A175:F1731,4,FALSE)</f>
      </c>
      <c r="E176" t="str">
        <f>DATE(YEAR(D176),MONTH(D176),DAY(D176))</f>
      </c>
      <c r="F176" t="str">
        <f>CONCATENATE(C176,E176)</f>
      </c>
      <c r="G176" t="str">
        <f>TIMEVALUE(D176)</f>
      </c>
      <c r="H176" t="str">
        <f>COUNTIF(Szamlaszamok!A:A,A176)</f>
      </c>
      <c r="I176" t="str">
        <f>SUMIFS(Szamlaszamok!E:E,Szamlaszamok!A:A,Szamlaszamok_nonduplicate!A176)</f>
      </c>
    </row>
    <row r="177" spans="1:9">
      <c r="A177" t="s">
        <v>659</v>
      </c>
      <c r="B177" t="str">
        <f>VLOOKUP($A177,Szamlaszamok!$A176:F1732,2,FALSE)</f>
      </c>
      <c r="C177" t="str">
        <f>VLOOKUP($A177,Szamlaszamok!$A176:F1732,3,FALSE)</f>
      </c>
      <c r="D177" t="str">
        <f>VLOOKUP($A177,Szamlaszamok!$A176:F1732,4,FALSE)</f>
      </c>
      <c r="E177" t="str">
        <f>DATE(YEAR(D177),MONTH(D177),DAY(D177))</f>
      </c>
      <c r="F177" t="str">
        <f>CONCATENATE(C177,E177)</f>
      </c>
      <c r="G177" t="str">
        <f>TIMEVALUE(D177)</f>
      </c>
      <c r="H177" t="str">
        <f>COUNTIF(Szamlaszamok!A:A,A177)</f>
      </c>
      <c r="I177" t="str">
        <f>SUMIFS(Szamlaszamok!E:E,Szamlaszamok!A:A,Szamlaszamok_nonduplicate!A177)</f>
      </c>
    </row>
    <row r="178" spans="1:9">
      <c r="A178" t="s">
        <v>662</v>
      </c>
      <c r="B178" t="str">
        <f>VLOOKUP($A178,Szamlaszamok!$A177:F1733,2,FALSE)</f>
      </c>
      <c r="C178" t="str">
        <f>VLOOKUP($A178,Szamlaszamok!$A177:F1733,3,FALSE)</f>
      </c>
      <c r="D178" t="str">
        <f>VLOOKUP($A178,Szamlaszamok!$A177:F1733,4,FALSE)</f>
      </c>
      <c r="E178" t="str">
        <f>DATE(YEAR(D178),MONTH(D178),DAY(D178))</f>
      </c>
      <c r="F178" t="str">
        <f>CONCATENATE(C178,E178)</f>
      </c>
      <c r="G178" t="str">
        <f>TIMEVALUE(D178)</f>
      </c>
      <c r="H178" t="str">
        <f>COUNTIF(Szamlaszamok!A:A,A178)</f>
      </c>
      <c r="I178" t="str">
        <f>SUMIFS(Szamlaszamok!E:E,Szamlaszamok!A:A,Szamlaszamok_nonduplicate!A178)</f>
      </c>
    </row>
    <row r="179" spans="1:9">
      <c r="A179" t="s">
        <v>665</v>
      </c>
      <c r="B179" t="str">
        <f>VLOOKUP($A179,Szamlaszamok!$A178:F1734,2,FALSE)</f>
      </c>
      <c r="C179" t="str">
        <f>VLOOKUP($A179,Szamlaszamok!$A178:F1734,3,FALSE)</f>
      </c>
      <c r="D179" t="str">
        <f>VLOOKUP($A179,Szamlaszamok!$A178:F1734,4,FALSE)</f>
      </c>
      <c r="E179" t="str">
        <f>DATE(YEAR(D179),MONTH(D179),DAY(D179))</f>
      </c>
      <c r="F179" t="str">
        <f>CONCATENATE(C179,E179)</f>
      </c>
      <c r="G179" t="str">
        <f>TIMEVALUE(D179)</f>
      </c>
      <c r="H179" t="str">
        <f>COUNTIF(Szamlaszamok!A:A,A179)</f>
      </c>
      <c r="I179" t="str">
        <f>SUMIFS(Szamlaszamok!E:E,Szamlaszamok!A:A,Szamlaszamok_nonduplicate!A179)</f>
      </c>
    </row>
    <row r="180" spans="1:9">
      <c r="A180" t="s">
        <v>669</v>
      </c>
      <c r="B180" t="str">
        <f>VLOOKUP($A180,Szamlaszamok!$A179:F1735,2,FALSE)</f>
      </c>
      <c r="C180" t="str">
        <f>VLOOKUP($A180,Szamlaszamok!$A179:F1735,3,FALSE)</f>
      </c>
      <c r="D180" t="str">
        <f>VLOOKUP($A180,Szamlaszamok!$A179:F1735,4,FALSE)</f>
      </c>
      <c r="E180" t="str">
        <f>DATE(YEAR(D180),MONTH(D180),DAY(D180))</f>
      </c>
      <c r="F180" t="str">
        <f>CONCATENATE(C180,E180)</f>
      </c>
      <c r="G180" t="str">
        <f>TIMEVALUE(D180)</f>
      </c>
      <c r="H180" t="str">
        <f>COUNTIF(Szamlaszamok!A:A,A180)</f>
      </c>
      <c r="I180" t="str">
        <f>SUMIFS(Szamlaszamok!E:E,Szamlaszamok!A:A,Szamlaszamok_nonduplicate!A180)</f>
      </c>
    </row>
    <row r="181" spans="1:9">
      <c r="A181" t="s">
        <v>672</v>
      </c>
      <c r="B181" t="str">
        <f>VLOOKUP($A181,Szamlaszamok!$A180:F1736,2,FALSE)</f>
      </c>
      <c r="C181" t="str">
        <f>VLOOKUP($A181,Szamlaszamok!$A180:F1736,3,FALSE)</f>
      </c>
      <c r="D181" t="str">
        <f>VLOOKUP($A181,Szamlaszamok!$A180:F1736,4,FALSE)</f>
      </c>
      <c r="E181" t="str">
        <f>DATE(YEAR(D181),MONTH(D181),DAY(D181))</f>
      </c>
      <c r="F181" t="str">
        <f>CONCATENATE(C181,E181)</f>
      </c>
      <c r="G181" t="str">
        <f>TIMEVALUE(D181)</f>
      </c>
      <c r="H181" t="str">
        <f>COUNTIF(Szamlaszamok!A:A,A181)</f>
      </c>
      <c r="I181" t="str">
        <f>SUMIFS(Szamlaszamok!E:E,Szamlaszamok!A:A,Szamlaszamok_nonduplicate!A181)</f>
      </c>
    </row>
    <row r="182" spans="1:9">
      <c r="A182" t="s">
        <v>675</v>
      </c>
      <c r="B182" t="str">
        <f>VLOOKUP($A182,Szamlaszamok!$A181:F1737,2,FALSE)</f>
      </c>
      <c r="C182" t="str">
        <f>VLOOKUP($A182,Szamlaszamok!$A181:F1737,3,FALSE)</f>
      </c>
      <c r="D182" t="str">
        <f>VLOOKUP($A182,Szamlaszamok!$A181:F1737,4,FALSE)</f>
      </c>
      <c r="E182" t="str">
        <f>DATE(YEAR(D182),MONTH(D182),DAY(D182))</f>
      </c>
      <c r="F182" t="str">
        <f>CONCATENATE(C182,E182)</f>
      </c>
      <c r="G182" t="str">
        <f>TIMEVALUE(D182)</f>
      </c>
      <c r="H182" t="str">
        <f>COUNTIF(Szamlaszamok!A:A,A182)</f>
      </c>
      <c r="I182" t="str">
        <f>SUMIFS(Szamlaszamok!E:E,Szamlaszamok!A:A,Szamlaszamok_nonduplicate!A182)</f>
      </c>
    </row>
    <row r="183" spans="1:9">
      <c r="A183" t="s">
        <v>678</v>
      </c>
      <c r="B183" t="str">
        <f>VLOOKUP($A183,Szamlaszamok!$A182:F1738,2,FALSE)</f>
      </c>
      <c r="C183" t="str">
        <f>VLOOKUP($A183,Szamlaszamok!$A182:F1738,3,FALSE)</f>
      </c>
      <c r="D183" t="str">
        <f>VLOOKUP($A183,Szamlaszamok!$A182:F1738,4,FALSE)</f>
      </c>
      <c r="E183" t="str">
        <f>DATE(YEAR(D183),MONTH(D183),DAY(D183))</f>
      </c>
      <c r="F183" t="str">
        <f>CONCATENATE(C183,E183)</f>
      </c>
      <c r="G183" t="str">
        <f>TIMEVALUE(D183)</f>
      </c>
      <c r="H183" t="str">
        <f>COUNTIF(Szamlaszamok!A:A,A183)</f>
      </c>
      <c r="I183" t="str">
        <f>SUMIFS(Szamlaszamok!E:E,Szamlaszamok!A:A,Szamlaszamok_nonduplicate!A183)</f>
      </c>
    </row>
    <row r="184" spans="1:9">
      <c r="A184" t="s">
        <v>681</v>
      </c>
      <c r="B184" t="str">
        <f>VLOOKUP($A184,Szamlaszamok!$A183:F1739,2,FALSE)</f>
      </c>
      <c r="C184" t="str">
        <f>VLOOKUP($A184,Szamlaszamok!$A183:F1739,3,FALSE)</f>
      </c>
      <c r="D184" t="str">
        <f>VLOOKUP($A184,Szamlaszamok!$A183:F1739,4,FALSE)</f>
      </c>
      <c r="E184" t="str">
        <f>DATE(YEAR(D184),MONTH(D184),DAY(D184))</f>
      </c>
      <c r="F184" t="str">
        <f>CONCATENATE(C184,E184)</f>
      </c>
      <c r="G184" t="str">
        <f>TIMEVALUE(D184)</f>
      </c>
      <c r="H184" t="str">
        <f>COUNTIF(Szamlaszamok!A:A,A184)</f>
      </c>
      <c r="I184" t="str">
        <f>SUMIFS(Szamlaszamok!E:E,Szamlaszamok!A:A,Szamlaszamok_nonduplicate!A184)</f>
      </c>
    </row>
    <row r="185" spans="1:9">
      <c r="A185" t="s">
        <v>684</v>
      </c>
      <c r="B185" t="str">
        <f>VLOOKUP($A185,Szamlaszamok!$A184:F1740,2,FALSE)</f>
      </c>
      <c r="C185" t="str">
        <f>VLOOKUP($A185,Szamlaszamok!$A184:F1740,3,FALSE)</f>
      </c>
      <c r="D185" t="str">
        <f>VLOOKUP($A185,Szamlaszamok!$A184:F1740,4,FALSE)</f>
      </c>
      <c r="E185" t="str">
        <f>DATE(YEAR(D185),MONTH(D185),DAY(D185))</f>
      </c>
      <c r="F185" t="str">
        <f>CONCATENATE(C185,E185)</f>
      </c>
      <c r="G185" t="str">
        <f>TIMEVALUE(D185)</f>
      </c>
      <c r="H185" t="str">
        <f>COUNTIF(Szamlaszamok!A:A,A185)</f>
      </c>
      <c r="I185" t="str">
        <f>SUMIFS(Szamlaszamok!E:E,Szamlaszamok!A:A,Szamlaszamok_nonduplicate!A185)</f>
      </c>
    </row>
    <row r="186" spans="1:9">
      <c r="A186" t="s">
        <v>688</v>
      </c>
      <c r="B186" t="str">
        <f>VLOOKUP($A186,Szamlaszamok!$A185:F1741,2,FALSE)</f>
      </c>
      <c r="C186" t="str">
        <f>VLOOKUP($A186,Szamlaszamok!$A185:F1741,3,FALSE)</f>
      </c>
      <c r="D186" t="str">
        <f>VLOOKUP($A186,Szamlaszamok!$A185:F1741,4,FALSE)</f>
      </c>
      <c r="E186" t="str">
        <f>DATE(YEAR(D186),MONTH(D186),DAY(D186))</f>
      </c>
      <c r="F186" t="str">
        <f>CONCATENATE(C186,E186)</f>
      </c>
      <c r="G186" t="str">
        <f>TIMEVALUE(D186)</f>
      </c>
      <c r="H186" t="str">
        <f>COUNTIF(Szamlaszamok!A:A,A186)</f>
      </c>
      <c r="I186" t="str">
        <f>SUMIFS(Szamlaszamok!E:E,Szamlaszamok!A:A,Szamlaszamok_nonduplicate!A186)</f>
      </c>
    </row>
    <row r="187" spans="1:9">
      <c r="A187" t="s">
        <v>691</v>
      </c>
      <c r="B187" t="str">
        <f>VLOOKUP($A187,Szamlaszamok!$A186:F1742,2,FALSE)</f>
      </c>
      <c r="C187" t="str">
        <f>VLOOKUP($A187,Szamlaszamok!$A186:F1742,3,FALSE)</f>
      </c>
      <c r="D187" t="str">
        <f>VLOOKUP($A187,Szamlaszamok!$A186:F1742,4,FALSE)</f>
      </c>
      <c r="E187" t="str">
        <f>DATE(YEAR(D187),MONTH(D187),DAY(D187))</f>
      </c>
      <c r="F187" t="str">
        <f>CONCATENATE(C187,E187)</f>
      </c>
      <c r="G187" t="str">
        <f>TIMEVALUE(D187)</f>
      </c>
      <c r="H187" t="str">
        <f>COUNTIF(Szamlaszamok!A:A,A187)</f>
      </c>
      <c r="I187" t="str">
        <f>SUMIFS(Szamlaszamok!E:E,Szamlaszamok!A:A,Szamlaszamok_nonduplicate!A187)</f>
      </c>
    </row>
    <row r="188" spans="1:9">
      <c r="A188" t="s">
        <v>694</v>
      </c>
      <c r="B188" t="str">
        <f>VLOOKUP($A188,Szamlaszamok!$A187:F1743,2,FALSE)</f>
      </c>
      <c r="C188" t="str">
        <f>VLOOKUP($A188,Szamlaszamok!$A187:F1743,3,FALSE)</f>
      </c>
      <c r="D188" t="str">
        <f>VLOOKUP($A188,Szamlaszamok!$A187:F1743,4,FALSE)</f>
      </c>
      <c r="E188" t="str">
        <f>DATE(YEAR(D188),MONTH(D188),DAY(D188))</f>
      </c>
      <c r="F188" t="str">
        <f>CONCATENATE(C188,E188)</f>
      </c>
      <c r="G188" t="str">
        <f>TIMEVALUE(D188)</f>
      </c>
      <c r="H188" t="str">
        <f>COUNTIF(Szamlaszamok!A:A,A188)</f>
      </c>
      <c r="I188" t="str">
        <f>SUMIFS(Szamlaszamok!E:E,Szamlaszamok!A:A,Szamlaszamok_nonduplicate!A188)</f>
      </c>
    </row>
    <row r="189" spans="1:9">
      <c r="A189" t="s">
        <v>698</v>
      </c>
      <c r="B189" t="str">
        <f>VLOOKUP($A189,Szamlaszamok!$A188:F1744,2,FALSE)</f>
      </c>
      <c r="C189" t="str">
        <f>VLOOKUP($A189,Szamlaszamok!$A188:F1744,3,FALSE)</f>
      </c>
      <c r="D189" t="str">
        <f>VLOOKUP($A189,Szamlaszamok!$A188:F1744,4,FALSE)</f>
      </c>
      <c r="E189" t="str">
        <f>DATE(YEAR(D189),MONTH(D189),DAY(D189))</f>
      </c>
      <c r="F189" t="str">
        <f>CONCATENATE(C189,E189)</f>
      </c>
      <c r="G189" t="str">
        <f>TIMEVALUE(D189)</f>
      </c>
      <c r="H189" t="str">
        <f>COUNTIF(Szamlaszamok!A:A,A189)</f>
      </c>
      <c r="I189" t="str">
        <f>SUMIFS(Szamlaszamok!E:E,Szamlaszamok!A:A,Szamlaszamok_nonduplicate!A189)</f>
      </c>
    </row>
    <row r="190" spans="1:9">
      <c r="A190" t="s">
        <v>702</v>
      </c>
      <c r="B190" t="str">
        <f>VLOOKUP($A190,Szamlaszamok!$A189:F1745,2,FALSE)</f>
      </c>
      <c r="C190" t="str">
        <f>VLOOKUP($A190,Szamlaszamok!$A189:F1745,3,FALSE)</f>
      </c>
      <c r="D190" t="str">
        <f>VLOOKUP($A190,Szamlaszamok!$A189:F1745,4,FALSE)</f>
      </c>
      <c r="E190" t="str">
        <f>DATE(YEAR(D190),MONTH(D190),DAY(D190))</f>
      </c>
      <c r="F190" t="str">
        <f>CONCATENATE(C190,E190)</f>
      </c>
      <c r="G190" t="str">
        <f>TIMEVALUE(D190)</f>
      </c>
      <c r="H190" t="str">
        <f>COUNTIF(Szamlaszamok!A:A,A190)</f>
      </c>
      <c r="I190" t="str">
        <f>SUMIFS(Szamlaszamok!E:E,Szamlaszamok!A:A,Szamlaszamok_nonduplicate!A190)</f>
      </c>
    </row>
    <row r="191" spans="1:9">
      <c r="A191" t="s">
        <v>706</v>
      </c>
      <c r="B191" t="str">
        <f>VLOOKUP($A191,Szamlaszamok!$A190:F1746,2,FALSE)</f>
      </c>
      <c r="C191" t="str">
        <f>VLOOKUP($A191,Szamlaszamok!$A190:F1746,3,FALSE)</f>
      </c>
      <c r="D191" t="str">
        <f>VLOOKUP($A191,Szamlaszamok!$A190:F1746,4,FALSE)</f>
      </c>
      <c r="E191" t="str">
        <f>DATE(YEAR(D191),MONTH(D191),DAY(D191))</f>
      </c>
      <c r="F191" t="str">
        <f>CONCATENATE(C191,E191)</f>
      </c>
      <c r="G191" t="str">
        <f>TIMEVALUE(D191)</f>
      </c>
      <c r="H191" t="str">
        <f>COUNTIF(Szamlaszamok!A:A,A191)</f>
      </c>
      <c r="I191" t="str">
        <f>SUMIFS(Szamlaszamok!E:E,Szamlaszamok!A:A,Szamlaszamok_nonduplicate!A191)</f>
      </c>
    </row>
    <row r="192" spans="1:9">
      <c r="A192" t="s">
        <v>710</v>
      </c>
      <c r="B192" t="str">
        <f>VLOOKUP($A192,Szamlaszamok!$A191:F1747,2,FALSE)</f>
      </c>
      <c r="C192" t="str">
        <f>VLOOKUP($A192,Szamlaszamok!$A191:F1747,3,FALSE)</f>
      </c>
      <c r="D192" t="str">
        <f>VLOOKUP($A192,Szamlaszamok!$A191:F1747,4,FALSE)</f>
      </c>
      <c r="E192" t="str">
        <f>DATE(YEAR(D192),MONTH(D192),DAY(D192))</f>
      </c>
      <c r="F192" t="str">
        <f>CONCATENATE(C192,E192)</f>
      </c>
      <c r="G192" t="str">
        <f>TIMEVALUE(D192)</f>
      </c>
      <c r="H192" t="str">
        <f>COUNTIF(Szamlaszamok!A:A,A192)</f>
      </c>
      <c r="I192" t="str">
        <f>SUMIFS(Szamlaszamok!E:E,Szamlaszamok!A:A,Szamlaszamok_nonduplicate!A192)</f>
      </c>
    </row>
    <row r="193" spans="1:9">
      <c r="A193" t="s">
        <v>714</v>
      </c>
      <c r="B193" t="str">
        <f>VLOOKUP($A193,Szamlaszamok!$A192:F1748,2,FALSE)</f>
      </c>
      <c r="C193" t="str">
        <f>VLOOKUP($A193,Szamlaszamok!$A192:F1748,3,FALSE)</f>
      </c>
      <c r="D193" t="str">
        <f>VLOOKUP($A193,Szamlaszamok!$A192:F1748,4,FALSE)</f>
      </c>
      <c r="E193" t="str">
        <f>DATE(YEAR(D193),MONTH(D193),DAY(D193))</f>
      </c>
      <c r="F193" t="str">
        <f>CONCATENATE(C193,E193)</f>
      </c>
      <c r="G193" t="str">
        <f>TIMEVALUE(D193)</f>
      </c>
      <c r="H193" t="str">
        <f>COUNTIF(Szamlaszamok!A:A,A193)</f>
      </c>
      <c r="I193" t="str">
        <f>SUMIFS(Szamlaszamok!E:E,Szamlaszamok!A:A,Szamlaszamok_nonduplicate!A193)</f>
      </c>
    </row>
    <row r="194" spans="1:9">
      <c r="A194" t="s">
        <v>717</v>
      </c>
      <c r="B194" t="str">
        <f>VLOOKUP($A194,Szamlaszamok!$A193:F1749,2,FALSE)</f>
      </c>
      <c r="C194" t="str">
        <f>VLOOKUP($A194,Szamlaszamok!$A193:F1749,3,FALSE)</f>
      </c>
      <c r="D194" t="str">
        <f>VLOOKUP($A194,Szamlaszamok!$A193:F1749,4,FALSE)</f>
      </c>
      <c r="E194" t="str">
        <f>DATE(YEAR(D194),MONTH(D194),DAY(D194))</f>
      </c>
      <c r="F194" t="str">
        <f>CONCATENATE(C194,E194)</f>
      </c>
      <c r="G194" t="str">
        <f>TIMEVALUE(D194)</f>
      </c>
      <c r="H194" t="str">
        <f>COUNTIF(Szamlaszamok!A:A,A194)</f>
      </c>
      <c r="I194" t="str">
        <f>SUMIFS(Szamlaszamok!E:E,Szamlaszamok!A:A,Szamlaszamok_nonduplicate!A194)</f>
      </c>
    </row>
    <row r="195" spans="1:9">
      <c r="A195" t="s">
        <v>720</v>
      </c>
      <c r="B195" t="str">
        <f>VLOOKUP($A195,Szamlaszamok!$A194:F1750,2,FALSE)</f>
      </c>
      <c r="C195" t="str">
        <f>VLOOKUP($A195,Szamlaszamok!$A194:F1750,3,FALSE)</f>
      </c>
      <c r="D195" t="str">
        <f>VLOOKUP($A195,Szamlaszamok!$A194:F1750,4,FALSE)</f>
      </c>
      <c r="E195" t="str">
        <f>DATE(YEAR(D195),MONTH(D195),DAY(D195))</f>
      </c>
      <c r="F195" t="str">
        <f>CONCATENATE(C195,E195)</f>
      </c>
      <c r="G195" t="str">
        <f>TIMEVALUE(D195)</f>
      </c>
      <c r="H195" t="str">
        <f>COUNTIF(Szamlaszamok!A:A,A195)</f>
      </c>
      <c r="I195" t="str">
        <f>SUMIFS(Szamlaszamok!E:E,Szamlaszamok!A:A,Szamlaszamok_nonduplicate!A195)</f>
      </c>
    </row>
    <row r="196" spans="1:9">
      <c r="A196" t="s">
        <v>723</v>
      </c>
      <c r="B196" t="str">
        <f>VLOOKUP($A196,Szamlaszamok!$A195:F1751,2,FALSE)</f>
      </c>
      <c r="C196" t="str">
        <f>VLOOKUP($A196,Szamlaszamok!$A195:F1751,3,FALSE)</f>
      </c>
      <c r="D196" t="str">
        <f>VLOOKUP($A196,Szamlaszamok!$A195:F1751,4,FALSE)</f>
      </c>
      <c r="E196" t="str">
        <f>DATE(YEAR(D196),MONTH(D196),DAY(D196))</f>
      </c>
      <c r="F196" t="str">
        <f>CONCATENATE(C196,E196)</f>
      </c>
      <c r="G196" t="str">
        <f>TIMEVALUE(D196)</f>
      </c>
      <c r="H196" t="str">
        <f>COUNTIF(Szamlaszamok!A:A,A196)</f>
      </c>
      <c r="I196" t="str">
        <f>SUMIFS(Szamlaszamok!E:E,Szamlaszamok!A:A,Szamlaszamok_nonduplicate!A196)</f>
      </c>
    </row>
    <row r="197" spans="1:9">
      <c r="A197" t="s">
        <v>727</v>
      </c>
      <c r="B197" t="str">
        <f>VLOOKUP($A197,Szamlaszamok!$A196:F1752,2,FALSE)</f>
      </c>
      <c r="C197" t="str">
        <f>VLOOKUP($A197,Szamlaszamok!$A196:F1752,3,FALSE)</f>
      </c>
      <c r="D197" t="str">
        <f>VLOOKUP($A197,Szamlaszamok!$A196:F1752,4,FALSE)</f>
      </c>
      <c r="E197" t="str">
        <f>DATE(YEAR(D197),MONTH(D197),DAY(D197))</f>
      </c>
      <c r="F197" t="str">
        <f>CONCATENATE(C197,E197)</f>
      </c>
      <c r="G197" t="str">
        <f>TIMEVALUE(D197)</f>
      </c>
      <c r="H197" t="str">
        <f>COUNTIF(Szamlaszamok!A:A,A197)</f>
      </c>
      <c r="I197" t="str">
        <f>SUMIFS(Szamlaszamok!E:E,Szamlaszamok!A:A,Szamlaszamok_nonduplicate!A197)</f>
      </c>
    </row>
    <row r="198" spans="1:9">
      <c r="A198" t="s">
        <v>731</v>
      </c>
      <c r="B198" t="str">
        <f>VLOOKUP($A198,Szamlaszamok!$A197:F1753,2,FALSE)</f>
      </c>
      <c r="C198" t="str">
        <f>VLOOKUP($A198,Szamlaszamok!$A197:F1753,3,FALSE)</f>
      </c>
      <c r="D198" t="str">
        <f>VLOOKUP($A198,Szamlaszamok!$A197:F1753,4,FALSE)</f>
      </c>
      <c r="E198" t="str">
        <f>DATE(YEAR(D198),MONTH(D198),DAY(D198))</f>
      </c>
      <c r="F198" t="str">
        <f>CONCATENATE(C198,E198)</f>
      </c>
      <c r="G198" t="str">
        <f>TIMEVALUE(D198)</f>
      </c>
      <c r="H198" t="str">
        <f>COUNTIF(Szamlaszamok!A:A,A198)</f>
      </c>
      <c r="I198" t="str">
        <f>SUMIFS(Szamlaszamok!E:E,Szamlaszamok!A:A,Szamlaszamok_nonduplicate!A198)</f>
      </c>
    </row>
    <row r="199" spans="1:9">
      <c r="A199" t="s">
        <v>734</v>
      </c>
      <c r="B199" t="str">
        <f>VLOOKUP($A199,Szamlaszamok!$A198:F1754,2,FALSE)</f>
      </c>
      <c r="C199" t="str">
        <f>VLOOKUP($A199,Szamlaszamok!$A198:F1754,3,FALSE)</f>
      </c>
      <c r="D199" t="str">
        <f>VLOOKUP($A199,Szamlaszamok!$A198:F1754,4,FALSE)</f>
      </c>
      <c r="E199" t="str">
        <f>DATE(YEAR(D199),MONTH(D199),DAY(D199))</f>
      </c>
      <c r="F199" t="str">
        <f>CONCATENATE(C199,E199)</f>
      </c>
      <c r="G199" t="str">
        <f>TIMEVALUE(D199)</f>
      </c>
      <c r="H199" t="str">
        <f>COUNTIF(Szamlaszamok!A:A,A199)</f>
      </c>
      <c r="I199" t="str">
        <f>SUMIFS(Szamlaszamok!E:E,Szamlaszamok!A:A,Szamlaszamok_nonduplicate!A199)</f>
      </c>
    </row>
    <row r="200" spans="1:9">
      <c r="A200" t="s">
        <v>737</v>
      </c>
      <c r="B200" t="str">
        <f>VLOOKUP($A200,Szamlaszamok!$A199:F1755,2,FALSE)</f>
      </c>
      <c r="C200" t="str">
        <f>VLOOKUP($A200,Szamlaszamok!$A199:F1755,3,FALSE)</f>
      </c>
      <c r="D200" t="str">
        <f>VLOOKUP($A200,Szamlaszamok!$A199:F1755,4,FALSE)</f>
      </c>
      <c r="E200" t="str">
        <f>DATE(YEAR(D200),MONTH(D200),DAY(D200))</f>
      </c>
      <c r="F200" t="str">
        <f>CONCATENATE(C200,E200)</f>
      </c>
      <c r="G200" t="str">
        <f>TIMEVALUE(D200)</f>
      </c>
      <c r="H200" t="str">
        <f>COUNTIF(Szamlaszamok!A:A,A200)</f>
      </c>
      <c r="I200" t="str">
        <f>SUMIFS(Szamlaszamok!E:E,Szamlaszamok!A:A,Szamlaszamok_nonduplicate!A200)</f>
      </c>
    </row>
    <row r="201" spans="1:9">
      <c r="A201" t="s">
        <v>740</v>
      </c>
      <c r="B201" t="str">
        <f>VLOOKUP($A201,Szamlaszamok!$A200:F1756,2,FALSE)</f>
      </c>
      <c r="C201" t="str">
        <f>VLOOKUP($A201,Szamlaszamok!$A200:F1756,3,FALSE)</f>
      </c>
      <c r="D201" t="str">
        <f>VLOOKUP($A201,Szamlaszamok!$A200:F1756,4,FALSE)</f>
      </c>
      <c r="E201" t="str">
        <f>DATE(YEAR(D201),MONTH(D201),DAY(D201))</f>
      </c>
      <c r="F201" t="str">
        <f>CONCATENATE(C201,E201)</f>
      </c>
      <c r="G201" t="str">
        <f>TIMEVALUE(D201)</f>
      </c>
      <c r="H201" t="str">
        <f>COUNTIF(Szamlaszamok!A:A,A201)</f>
      </c>
      <c r="I201" t="str">
        <f>SUMIFS(Szamlaszamok!E:E,Szamlaszamok!A:A,Szamlaszamok_nonduplicate!A201)</f>
      </c>
    </row>
    <row r="202" spans="1:9">
      <c r="A202" t="s">
        <v>743</v>
      </c>
      <c r="B202" t="str">
        <f>VLOOKUP($A202,Szamlaszamok!$A201:F1757,2,FALSE)</f>
      </c>
      <c r="C202" t="str">
        <f>VLOOKUP($A202,Szamlaszamok!$A201:F1757,3,FALSE)</f>
      </c>
      <c r="D202" t="str">
        <f>VLOOKUP($A202,Szamlaszamok!$A201:F1757,4,FALSE)</f>
      </c>
      <c r="E202" t="str">
        <f>DATE(YEAR(D202),MONTH(D202),DAY(D202))</f>
      </c>
      <c r="F202" t="str">
        <f>CONCATENATE(C202,E202)</f>
      </c>
      <c r="G202" t="str">
        <f>TIMEVALUE(D202)</f>
      </c>
      <c r="H202" t="str">
        <f>COUNTIF(Szamlaszamok!A:A,A202)</f>
      </c>
      <c r="I202" t="str">
        <f>SUMIFS(Szamlaszamok!E:E,Szamlaszamok!A:A,Szamlaszamok_nonduplicate!A202)</f>
      </c>
    </row>
    <row r="203" spans="1:9">
      <c r="A203" t="s">
        <v>746</v>
      </c>
      <c r="B203" t="str">
        <f>VLOOKUP($A203,Szamlaszamok!$A202:F1758,2,FALSE)</f>
      </c>
      <c r="C203" t="str">
        <f>VLOOKUP($A203,Szamlaszamok!$A202:F1758,3,FALSE)</f>
      </c>
      <c r="D203" t="str">
        <f>VLOOKUP($A203,Szamlaszamok!$A202:F1758,4,FALSE)</f>
      </c>
      <c r="E203" t="str">
        <f>DATE(YEAR(D203),MONTH(D203),DAY(D203))</f>
      </c>
      <c r="F203" t="str">
        <f>CONCATENATE(C203,E203)</f>
      </c>
      <c r="G203" t="str">
        <f>TIMEVALUE(D203)</f>
      </c>
      <c r="H203" t="str">
        <f>COUNTIF(Szamlaszamok!A:A,A203)</f>
      </c>
      <c r="I203" t="str">
        <f>SUMIFS(Szamlaszamok!E:E,Szamlaszamok!A:A,Szamlaszamok_nonduplicate!A203)</f>
      </c>
    </row>
    <row r="204" spans="1:9">
      <c r="A204" t="s">
        <v>750</v>
      </c>
      <c r="B204" t="str">
        <f>VLOOKUP($A204,Szamlaszamok!$A203:F1759,2,FALSE)</f>
      </c>
      <c r="C204" t="str">
        <f>VLOOKUP($A204,Szamlaszamok!$A203:F1759,3,FALSE)</f>
      </c>
      <c r="D204" t="str">
        <f>VLOOKUP($A204,Szamlaszamok!$A203:F1759,4,FALSE)</f>
      </c>
      <c r="E204" t="str">
        <f>DATE(YEAR(D204),MONTH(D204),DAY(D204))</f>
      </c>
      <c r="F204" t="str">
        <f>CONCATENATE(C204,E204)</f>
      </c>
      <c r="G204" t="str">
        <f>TIMEVALUE(D204)</f>
      </c>
      <c r="H204" t="str">
        <f>COUNTIF(Szamlaszamok!A:A,A204)</f>
      </c>
      <c r="I204" t="str">
        <f>SUMIFS(Szamlaszamok!E:E,Szamlaszamok!A:A,Szamlaszamok_nonduplicate!A204)</f>
      </c>
    </row>
    <row r="205" spans="1:9">
      <c r="A205" t="s">
        <v>753</v>
      </c>
      <c r="B205" t="str">
        <f>VLOOKUP($A205,Szamlaszamok!$A204:F1760,2,FALSE)</f>
      </c>
      <c r="C205" t="str">
        <f>VLOOKUP($A205,Szamlaszamok!$A204:F1760,3,FALSE)</f>
      </c>
      <c r="D205" t="str">
        <f>VLOOKUP($A205,Szamlaszamok!$A204:F1760,4,FALSE)</f>
      </c>
      <c r="E205" t="str">
        <f>DATE(YEAR(D205),MONTH(D205),DAY(D205))</f>
      </c>
      <c r="F205" t="str">
        <f>CONCATENATE(C205,E205)</f>
      </c>
      <c r="G205" t="str">
        <f>TIMEVALUE(D205)</f>
      </c>
      <c r="H205" t="str">
        <f>COUNTIF(Szamlaszamok!A:A,A205)</f>
      </c>
      <c r="I205" t="str">
        <f>SUMIFS(Szamlaszamok!E:E,Szamlaszamok!A:A,Szamlaszamok_nonduplicate!A205)</f>
      </c>
    </row>
    <row r="206" spans="1:9">
      <c r="A206" t="s">
        <v>754</v>
      </c>
      <c r="B206" t="str">
        <f>VLOOKUP($A206,Szamlaszamok!$A205:F1761,2,FALSE)</f>
      </c>
      <c r="C206" t="str">
        <f>VLOOKUP($A206,Szamlaszamok!$A205:F1761,3,FALSE)</f>
      </c>
      <c r="D206" t="str">
        <f>VLOOKUP($A206,Szamlaszamok!$A205:F1761,4,FALSE)</f>
      </c>
      <c r="E206" t="str">
        <f>DATE(YEAR(D206),MONTH(D206),DAY(D206))</f>
      </c>
      <c r="F206" t="str">
        <f>CONCATENATE(C206,E206)</f>
      </c>
      <c r="G206" t="str">
        <f>TIMEVALUE(D206)</f>
      </c>
      <c r="H206" t="str">
        <f>COUNTIF(Szamlaszamok!A:A,A206)</f>
      </c>
      <c r="I206" t="str">
        <f>SUMIFS(Szamlaszamok!E:E,Szamlaszamok!A:A,Szamlaszamok_nonduplicate!A206)</f>
      </c>
    </row>
    <row r="207" spans="1:9">
      <c r="A207" t="s">
        <v>755</v>
      </c>
      <c r="B207" t="str">
        <f>VLOOKUP($A207,Szamlaszamok!$A206:F1762,2,FALSE)</f>
      </c>
      <c r="C207" t="str">
        <f>VLOOKUP($A207,Szamlaszamok!$A206:F1762,3,FALSE)</f>
      </c>
      <c r="D207" t="str">
        <f>VLOOKUP($A207,Szamlaszamok!$A206:F1762,4,FALSE)</f>
      </c>
      <c r="E207" t="str">
        <f>DATE(YEAR(D207),MONTH(D207),DAY(D207))</f>
      </c>
      <c r="F207" t="str">
        <f>CONCATENATE(C207,E207)</f>
      </c>
      <c r="G207" t="str">
        <f>TIMEVALUE(D207)</f>
      </c>
      <c r="H207" t="str">
        <f>COUNTIF(Szamlaszamok!A:A,A207)</f>
      </c>
      <c r="I207" t="str">
        <f>SUMIFS(Szamlaszamok!E:E,Szamlaszamok!A:A,Szamlaszamok_nonduplicate!A207)</f>
      </c>
    </row>
    <row r="208" spans="1:9">
      <c r="A208" t="s">
        <v>759</v>
      </c>
      <c r="B208" t="str">
        <f>VLOOKUP($A208,Szamlaszamok!$A207:F1763,2,FALSE)</f>
      </c>
      <c r="C208" t="str">
        <f>VLOOKUP($A208,Szamlaszamok!$A207:F1763,3,FALSE)</f>
      </c>
      <c r="D208" t="str">
        <f>VLOOKUP($A208,Szamlaszamok!$A207:F1763,4,FALSE)</f>
      </c>
      <c r="E208" t="str">
        <f>DATE(YEAR(D208),MONTH(D208),DAY(D208))</f>
      </c>
      <c r="F208" t="str">
        <f>CONCATENATE(C208,E208)</f>
      </c>
      <c r="G208" t="str">
        <f>TIMEVALUE(D208)</f>
      </c>
      <c r="H208" t="str">
        <f>COUNTIF(Szamlaszamok!A:A,A208)</f>
      </c>
      <c r="I208" t="str">
        <f>SUMIFS(Szamlaszamok!E:E,Szamlaszamok!A:A,Szamlaszamok_nonduplicate!A208)</f>
      </c>
    </row>
    <row r="209" spans="1:9">
      <c r="A209" t="s">
        <v>763</v>
      </c>
      <c r="B209" t="str">
        <f>VLOOKUP($A209,Szamlaszamok!$A208:F1764,2,FALSE)</f>
      </c>
      <c r="C209" t="str">
        <f>VLOOKUP($A209,Szamlaszamok!$A208:F1764,3,FALSE)</f>
      </c>
      <c r="D209" t="str">
        <f>VLOOKUP($A209,Szamlaszamok!$A208:F1764,4,FALSE)</f>
      </c>
      <c r="E209" t="str">
        <f>DATE(YEAR(D209),MONTH(D209),DAY(D209))</f>
      </c>
      <c r="F209" t="str">
        <f>CONCATENATE(C209,E209)</f>
      </c>
      <c r="G209" t="str">
        <f>TIMEVALUE(D209)</f>
      </c>
      <c r="H209" t="str">
        <f>COUNTIF(Szamlaszamok!A:A,A209)</f>
      </c>
      <c r="I209" t="str">
        <f>SUMIFS(Szamlaszamok!E:E,Szamlaszamok!A:A,Szamlaszamok_nonduplicate!A209)</f>
      </c>
    </row>
    <row r="210" spans="1:9">
      <c r="A210" t="s">
        <v>767</v>
      </c>
      <c r="B210" t="str">
        <f>VLOOKUP($A210,Szamlaszamok!$A209:F1765,2,FALSE)</f>
      </c>
      <c r="C210" t="str">
        <f>VLOOKUP($A210,Szamlaszamok!$A209:F1765,3,FALSE)</f>
      </c>
      <c r="D210" t="str">
        <f>VLOOKUP($A210,Szamlaszamok!$A209:F1765,4,FALSE)</f>
      </c>
      <c r="E210" t="str">
        <f>DATE(YEAR(D210),MONTH(D210),DAY(D210))</f>
      </c>
      <c r="F210" t="str">
        <f>CONCATENATE(C210,E210)</f>
      </c>
      <c r="G210" t="str">
        <f>TIMEVALUE(D210)</f>
      </c>
      <c r="H210" t="str">
        <f>COUNTIF(Szamlaszamok!A:A,A210)</f>
      </c>
      <c r="I210" t="str">
        <f>SUMIFS(Szamlaszamok!E:E,Szamlaszamok!A:A,Szamlaszamok_nonduplicate!A210)</f>
      </c>
    </row>
    <row r="211" spans="1:9">
      <c r="A211" t="s">
        <v>771</v>
      </c>
      <c r="B211" t="str">
        <f>VLOOKUP($A211,Szamlaszamok!$A210:F1766,2,FALSE)</f>
      </c>
      <c r="C211" t="str">
        <f>VLOOKUP($A211,Szamlaszamok!$A210:F1766,3,FALSE)</f>
      </c>
      <c r="D211" t="str">
        <f>VLOOKUP($A211,Szamlaszamok!$A210:F1766,4,FALSE)</f>
      </c>
      <c r="E211" t="str">
        <f>DATE(YEAR(D211),MONTH(D211),DAY(D211))</f>
      </c>
      <c r="F211" t="str">
        <f>CONCATENATE(C211,E211)</f>
      </c>
      <c r="G211" t="str">
        <f>TIMEVALUE(D211)</f>
      </c>
      <c r="H211" t="str">
        <f>COUNTIF(Szamlaszamok!A:A,A211)</f>
      </c>
      <c r="I211" t="str">
        <f>SUMIFS(Szamlaszamok!E:E,Szamlaszamok!A:A,Szamlaszamok_nonduplicate!A211)</f>
      </c>
    </row>
    <row r="212" spans="1:9">
      <c r="A212" t="s">
        <v>775</v>
      </c>
      <c r="B212" t="str">
        <f>VLOOKUP($A212,Szamlaszamok!$A211:F1767,2,FALSE)</f>
      </c>
      <c r="C212" t="str">
        <f>VLOOKUP($A212,Szamlaszamok!$A211:F1767,3,FALSE)</f>
      </c>
      <c r="D212" t="str">
        <f>VLOOKUP($A212,Szamlaszamok!$A211:F1767,4,FALSE)</f>
      </c>
      <c r="E212" t="str">
        <f>DATE(YEAR(D212),MONTH(D212),DAY(D212))</f>
      </c>
      <c r="F212" t="str">
        <f>CONCATENATE(C212,E212)</f>
      </c>
      <c r="G212" t="str">
        <f>TIMEVALUE(D212)</f>
      </c>
      <c r="H212" t="str">
        <f>COUNTIF(Szamlaszamok!A:A,A212)</f>
      </c>
      <c r="I212" t="str">
        <f>SUMIFS(Szamlaszamok!E:E,Szamlaszamok!A:A,Szamlaszamok_nonduplicate!A212)</f>
      </c>
    </row>
    <row r="213" spans="1:9">
      <c r="A213" t="s">
        <v>778</v>
      </c>
      <c r="B213" t="str">
        <f>VLOOKUP($A213,Szamlaszamok!$A212:F1768,2,FALSE)</f>
      </c>
      <c r="C213" t="str">
        <f>VLOOKUP($A213,Szamlaszamok!$A212:F1768,3,FALSE)</f>
      </c>
      <c r="D213" t="str">
        <f>VLOOKUP($A213,Szamlaszamok!$A212:F1768,4,FALSE)</f>
      </c>
      <c r="E213" t="str">
        <f>DATE(YEAR(D213),MONTH(D213),DAY(D213))</f>
      </c>
      <c r="F213" t="str">
        <f>CONCATENATE(C213,E213)</f>
      </c>
      <c r="G213" t="str">
        <f>TIMEVALUE(D213)</f>
      </c>
      <c r="H213" t="str">
        <f>COUNTIF(Szamlaszamok!A:A,A213)</f>
      </c>
      <c r="I213" t="str">
        <f>SUMIFS(Szamlaszamok!E:E,Szamlaszamok!A:A,Szamlaszamok_nonduplicate!A213)</f>
      </c>
    </row>
    <row r="214" spans="1:9">
      <c r="A214" t="s">
        <v>782</v>
      </c>
      <c r="B214" t="str">
        <f>VLOOKUP($A214,Szamlaszamok!$A213:F1769,2,FALSE)</f>
      </c>
      <c r="C214" t="str">
        <f>VLOOKUP($A214,Szamlaszamok!$A213:F1769,3,FALSE)</f>
      </c>
      <c r="D214" t="str">
        <f>VLOOKUP($A214,Szamlaszamok!$A213:F1769,4,FALSE)</f>
      </c>
      <c r="E214" t="str">
        <f>DATE(YEAR(D214),MONTH(D214),DAY(D214))</f>
      </c>
      <c r="F214" t="str">
        <f>CONCATENATE(C214,E214)</f>
      </c>
      <c r="G214" t="str">
        <f>TIMEVALUE(D214)</f>
      </c>
      <c r="H214" t="str">
        <f>COUNTIF(Szamlaszamok!A:A,A214)</f>
      </c>
      <c r="I214" t="str">
        <f>SUMIFS(Szamlaszamok!E:E,Szamlaszamok!A:A,Szamlaszamok_nonduplicate!A214)</f>
      </c>
    </row>
    <row r="215" spans="1:9">
      <c r="A215" t="s">
        <v>785</v>
      </c>
      <c r="B215" t="str">
        <f>VLOOKUP($A215,Szamlaszamok!$A214:F1770,2,FALSE)</f>
      </c>
      <c r="C215" t="str">
        <f>VLOOKUP($A215,Szamlaszamok!$A214:F1770,3,FALSE)</f>
      </c>
      <c r="D215" t="str">
        <f>VLOOKUP($A215,Szamlaszamok!$A214:F1770,4,FALSE)</f>
      </c>
      <c r="E215" t="str">
        <f>DATE(YEAR(D215),MONTH(D215),DAY(D215))</f>
      </c>
      <c r="F215" t="str">
        <f>CONCATENATE(C215,E215)</f>
      </c>
      <c r="G215" t="str">
        <f>TIMEVALUE(D215)</f>
      </c>
      <c r="H215" t="str">
        <f>COUNTIF(Szamlaszamok!A:A,A215)</f>
      </c>
      <c r="I215" t="str">
        <f>SUMIFS(Szamlaszamok!E:E,Szamlaszamok!A:A,Szamlaszamok_nonduplicate!A215)</f>
      </c>
    </row>
    <row r="216" spans="1:9">
      <c r="A216" t="s">
        <v>789</v>
      </c>
      <c r="B216" t="str">
        <f>VLOOKUP($A216,Szamlaszamok!$A215:F1771,2,FALSE)</f>
      </c>
      <c r="C216" t="str">
        <f>VLOOKUP($A216,Szamlaszamok!$A215:F1771,3,FALSE)</f>
      </c>
      <c r="D216" t="str">
        <f>VLOOKUP($A216,Szamlaszamok!$A215:F1771,4,FALSE)</f>
      </c>
      <c r="E216" t="str">
        <f>DATE(YEAR(D216),MONTH(D216),DAY(D216))</f>
      </c>
      <c r="F216" t="str">
        <f>CONCATENATE(C216,E216)</f>
      </c>
      <c r="G216" t="str">
        <f>TIMEVALUE(D216)</f>
      </c>
      <c r="H216" t="str">
        <f>COUNTIF(Szamlaszamok!A:A,A216)</f>
      </c>
      <c r="I216" t="str">
        <f>SUMIFS(Szamlaszamok!E:E,Szamlaszamok!A:A,Szamlaszamok_nonduplicate!A216)</f>
      </c>
    </row>
    <row r="217" spans="1:9">
      <c r="A217" t="s">
        <v>793</v>
      </c>
      <c r="B217" t="str">
        <f>VLOOKUP($A217,Szamlaszamok!$A216:F1772,2,FALSE)</f>
      </c>
      <c r="C217" t="str">
        <f>VLOOKUP($A217,Szamlaszamok!$A216:F1772,3,FALSE)</f>
      </c>
      <c r="D217" t="str">
        <f>VLOOKUP($A217,Szamlaszamok!$A216:F1772,4,FALSE)</f>
      </c>
      <c r="E217" t="str">
        <f>DATE(YEAR(D217),MONTH(D217),DAY(D217))</f>
      </c>
      <c r="F217" t="str">
        <f>CONCATENATE(C217,E217)</f>
      </c>
      <c r="G217" t="str">
        <f>TIMEVALUE(D217)</f>
      </c>
      <c r="H217" t="str">
        <f>COUNTIF(Szamlaszamok!A:A,A217)</f>
      </c>
      <c r="I217" t="str">
        <f>SUMIFS(Szamlaszamok!E:E,Szamlaszamok!A:A,Szamlaszamok_nonduplicate!A217)</f>
      </c>
    </row>
    <row r="218" spans="1:9">
      <c r="A218" t="s">
        <v>796</v>
      </c>
      <c r="B218" t="str">
        <f>VLOOKUP($A218,Szamlaszamok!$A217:F1773,2,FALSE)</f>
      </c>
      <c r="C218" t="str">
        <f>VLOOKUP($A218,Szamlaszamok!$A217:F1773,3,FALSE)</f>
      </c>
      <c r="D218" t="str">
        <f>VLOOKUP($A218,Szamlaszamok!$A217:F1773,4,FALSE)</f>
      </c>
      <c r="E218" t="str">
        <f>DATE(YEAR(D218),MONTH(D218),DAY(D218))</f>
      </c>
      <c r="F218" t="str">
        <f>CONCATENATE(C218,E218)</f>
      </c>
      <c r="G218" t="str">
        <f>TIMEVALUE(D218)</f>
      </c>
      <c r="H218" t="str">
        <f>COUNTIF(Szamlaszamok!A:A,A218)</f>
      </c>
      <c r="I218" t="str">
        <f>SUMIFS(Szamlaszamok!E:E,Szamlaszamok!A:A,Szamlaszamok_nonduplicate!A218)</f>
      </c>
    </row>
    <row r="219" spans="1:9">
      <c r="A219" t="s">
        <v>800</v>
      </c>
      <c r="B219" t="str">
        <f>VLOOKUP($A219,Szamlaszamok!$A218:F1774,2,FALSE)</f>
      </c>
      <c r="C219" t="str">
        <f>VLOOKUP($A219,Szamlaszamok!$A218:F1774,3,FALSE)</f>
      </c>
      <c r="D219" t="str">
        <f>VLOOKUP($A219,Szamlaszamok!$A218:F1774,4,FALSE)</f>
      </c>
      <c r="E219" t="str">
        <f>DATE(YEAR(D219),MONTH(D219),DAY(D219))</f>
      </c>
      <c r="F219" t="str">
        <f>CONCATENATE(C219,E219)</f>
      </c>
      <c r="G219" t="str">
        <f>TIMEVALUE(D219)</f>
      </c>
      <c r="H219" t="str">
        <f>COUNTIF(Szamlaszamok!A:A,A219)</f>
      </c>
      <c r="I219" t="str">
        <f>SUMIFS(Szamlaszamok!E:E,Szamlaszamok!A:A,Szamlaszamok_nonduplicate!A219)</f>
      </c>
    </row>
    <row r="220" spans="1:9">
      <c r="A220" t="s">
        <v>804</v>
      </c>
      <c r="B220" t="str">
        <f>VLOOKUP($A220,Szamlaszamok!$A219:F1775,2,FALSE)</f>
      </c>
      <c r="C220" t="str">
        <f>VLOOKUP($A220,Szamlaszamok!$A219:F1775,3,FALSE)</f>
      </c>
      <c r="D220" t="str">
        <f>VLOOKUP($A220,Szamlaszamok!$A219:F1775,4,FALSE)</f>
      </c>
      <c r="E220" t="str">
        <f>DATE(YEAR(D220),MONTH(D220),DAY(D220))</f>
      </c>
      <c r="F220" t="str">
        <f>CONCATENATE(C220,E220)</f>
      </c>
      <c r="G220" t="str">
        <f>TIMEVALUE(D220)</f>
      </c>
      <c r="H220" t="str">
        <f>COUNTIF(Szamlaszamok!A:A,A220)</f>
      </c>
      <c r="I220" t="str">
        <f>SUMIFS(Szamlaszamok!E:E,Szamlaszamok!A:A,Szamlaszamok_nonduplicate!A220)</f>
      </c>
    </row>
    <row r="221" spans="1:9">
      <c r="A221" t="s">
        <v>806</v>
      </c>
      <c r="B221" t="str">
        <f>VLOOKUP($A221,Szamlaszamok!$A220:F1776,2,FALSE)</f>
      </c>
      <c r="C221" t="str">
        <f>VLOOKUP($A221,Szamlaszamok!$A220:F1776,3,FALSE)</f>
      </c>
      <c r="D221" t="str">
        <f>VLOOKUP($A221,Szamlaszamok!$A220:F1776,4,FALSE)</f>
      </c>
      <c r="E221" t="str">
        <f>DATE(YEAR(D221),MONTH(D221),DAY(D221))</f>
      </c>
      <c r="F221" t="str">
        <f>CONCATENATE(C221,E221)</f>
      </c>
      <c r="G221" t="str">
        <f>TIMEVALUE(D221)</f>
      </c>
      <c r="H221" t="str">
        <f>COUNTIF(Szamlaszamok!A:A,A221)</f>
      </c>
      <c r="I221" t="str">
        <f>SUMIFS(Szamlaszamok!E:E,Szamlaszamok!A:A,Szamlaszamok_nonduplicate!A221)</f>
      </c>
    </row>
    <row r="222" spans="1:9">
      <c r="A222" t="s">
        <v>810</v>
      </c>
      <c r="B222" t="str">
        <f>VLOOKUP($A222,Szamlaszamok!$A221:F1777,2,FALSE)</f>
      </c>
      <c r="C222" t="str">
        <f>VLOOKUP($A222,Szamlaszamok!$A221:F1777,3,FALSE)</f>
      </c>
      <c r="D222" t="str">
        <f>VLOOKUP($A222,Szamlaszamok!$A221:F1777,4,FALSE)</f>
      </c>
      <c r="E222" t="str">
        <f>DATE(YEAR(D222),MONTH(D222),DAY(D222))</f>
      </c>
      <c r="F222" t="str">
        <f>CONCATENATE(C222,E222)</f>
      </c>
      <c r="G222" t="str">
        <f>TIMEVALUE(D222)</f>
      </c>
      <c r="H222" t="str">
        <f>COUNTIF(Szamlaszamok!A:A,A222)</f>
      </c>
      <c r="I222" t="str">
        <f>SUMIFS(Szamlaszamok!E:E,Szamlaszamok!A:A,Szamlaszamok_nonduplicate!A222)</f>
      </c>
    </row>
    <row r="223" spans="1:9">
      <c r="A223" t="s">
        <v>813</v>
      </c>
      <c r="B223" t="str">
        <f>VLOOKUP($A223,Szamlaszamok!$A222:F1778,2,FALSE)</f>
      </c>
      <c r="C223" t="str">
        <f>VLOOKUP($A223,Szamlaszamok!$A222:F1778,3,FALSE)</f>
      </c>
      <c r="D223" t="str">
        <f>VLOOKUP($A223,Szamlaszamok!$A222:F1778,4,FALSE)</f>
      </c>
      <c r="E223" t="str">
        <f>DATE(YEAR(D223),MONTH(D223),DAY(D223))</f>
      </c>
      <c r="F223" t="str">
        <f>CONCATENATE(C223,E223)</f>
      </c>
      <c r="G223" t="str">
        <f>TIMEVALUE(D223)</f>
      </c>
      <c r="H223" t="str">
        <f>COUNTIF(Szamlaszamok!A:A,A223)</f>
      </c>
      <c r="I223" t="str">
        <f>SUMIFS(Szamlaszamok!E:E,Szamlaszamok!A:A,Szamlaszamok_nonduplicate!A223)</f>
      </c>
    </row>
    <row r="224" spans="1:9">
      <c r="A224" t="s">
        <v>817</v>
      </c>
      <c r="B224" t="str">
        <f>VLOOKUP($A224,Szamlaszamok!$A223:F1779,2,FALSE)</f>
      </c>
      <c r="C224" t="str">
        <f>VLOOKUP($A224,Szamlaszamok!$A223:F1779,3,FALSE)</f>
      </c>
      <c r="D224" t="str">
        <f>VLOOKUP($A224,Szamlaszamok!$A223:F1779,4,FALSE)</f>
      </c>
      <c r="E224" t="str">
        <f>DATE(YEAR(D224),MONTH(D224),DAY(D224))</f>
      </c>
      <c r="F224" t="str">
        <f>CONCATENATE(C224,E224)</f>
      </c>
      <c r="G224" t="str">
        <f>TIMEVALUE(D224)</f>
      </c>
      <c r="H224" t="str">
        <f>COUNTIF(Szamlaszamok!A:A,A224)</f>
      </c>
      <c r="I224" t="str">
        <f>SUMIFS(Szamlaszamok!E:E,Szamlaszamok!A:A,Szamlaszamok_nonduplicate!A224)</f>
      </c>
    </row>
    <row r="225" spans="1:9">
      <c r="A225" t="s">
        <v>820</v>
      </c>
      <c r="B225" t="str">
        <f>VLOOKUP($A225,Szamlaszamok!$A224:F1780,2,FALSE)</f>
      </c>
      <c r="C225" t="str">
        <f>VLOOKUP($A225,Szamlaszamok!$A224:F1780,3,FALSE)</f>
      </c>
      <c r="D225" t="str">
        <f>VLOOKUP($A225,Szamlaszamok!$A224:F1780,4,FALSE)</f>
      </c>
      <c r="E225" t="str">
        <f>DATE(YEAR(D225),MONTH(D225),DAY(D225))</f>
      </c>
      <c r="F225" t="str">
        <f>CONCATENATE(C225,E225)</f>
      </c>
      <c r="G225" t="str">
        <f>TIMEVALUE(D225)</f>
      </c>
      <c r="H225" t="str">
        <f>COUNTIF(Szamlaszamok!A:A,A225)</f>
      </c>
      <c r="I225" t="str">
        <f>SUMIFS(Szamlaszamok!E:E,Szamlaszamok!A:A,Szamlaszamok_nonduplicate!A225)</f>
      </c>
    </row>
    <row r="226" spans="1:9">
      <c r="A226" t="s">
        <v>822</v>
      </c>
      <c r="B226" t="str">
        <f>VLOOKUP($A226,Szamlaszamok!$A225:F1781,2,FALSE)</f>
      </c>
      <c r="C226" t="str">
        <f>VLOOKUP($A226,Szamlaszamok!$A225:F1781,3,FALSE)</f>
      </c>
      <c r="D226" t="str">
        <f>VLOOKUP($A226,Szamlaszamok!$A225:F1781,4,FALSE)</f>
      </c>
      <c r="E226" t="str">
        <f>DATE(YEAR(D226),MONTH(D226),DAY(D226))</f>
      </c>
      <c r="F226" t="str">
        <f>CONCATENATE(C226,E226)</f>
      </c>
      <c r="G226" t="str">
        <f>TIMEVALUE(D226)</f>
      </c>
      <c r="H226" t="str">
        <f>COUNTIF(Szamlaszamok!A:A,A226)</f>
      </c>
      <c r="I226" t="str">
        <f>SUMIFS(Szamlaszamok!E:E,Szamlaszamok!A:A,Szamlaszamok_nonduplicate!A226)</f>
      </c>
    </row>
    <row r="227" spans="1:9">
      <c r="A227" t="s">
        <v>825</v>
      </c>
      <c r="B227" t="str">
        <f>VLOOKUP($A227,Szamlaszamok!$A226:F1782,2,FALSE)</f>
      </c>
      <c r="C227" t="str">
        <f>VLOOKUP($A227,Szamlaszamok!$A226:F1782,3,FALSE)</f>
      </c>
      <c r="D227" t="str">
        <f>VLOOKUP($A227,Szamlaszamok!$A226:F1782,4,FALSE)</f>
      </c>
      <c r="E227" t="str">
        <f>DATE(YEAR(D227),MONTH(D227),DAY(D227))</f>
      </c>
      <c r="F227" t="str">
        <f>CONCATENATE(C227,E227)</f>
      </c>
      <c r="G227" t="str">
        <f>TIMEVALUE(D227)</f>
      </c>
      <c r="H227" t="str">
        <f>COUNTIF(Szamlaszamok!A:A,A227)</f>
      </c>
      <c r="I227" t="str">
        <f>SUMIFS(Szamlaszamok!E:E,Szamlaszamok!A:A,Szamlaszamok_nonduplicate!A227)</f>
      </c>
    </row>
    <row r="228" spans="1:9">
      <c r="A228" t="s">
        <v>828</v>
      </c>
      <c r="B228" t="str">
        <f>VLOOKUP($A228,Szamlaszamok!$A227:F1783,2,FALSE)</f>
      </c>
      <c r="C228" t="str">
        <f>VLOOKUP($A228,Szamlaszamok!$A227:F1783,3,FALSE)</f>
      </c>
      <c r="D228" t="str">
        <f>VLOOKUP($A228,Szamlaszamok!$A227:F1783,4,FALSE)</f>
      </c>
      <c r="E228" t="str">
        <f>DATE(YEAR(D228),MONTH(D228),DAY(D228))</f>
      </c>
      <c r="F228" t="str">
        <f>CONCATENATE(C228,E228)</f>
      </c>
      <c r="G228" t="str">
        <f>TIMEVALUE(D228)</f>
      </c>
      <c r="H228" t="str">
        <f>COUNTIF(Szamlaszamok!A:A,A228)</f>
      </c>
      <c r="I228" t="str">
        <f>SUMIFS(Szamlaszamok!E:E,Szamlaszamok!A:A,Szamlaszamok_nonduplicate!A228)</f>
      </c>
    </row>
    <row r="229" spans="1:9">
      <c r="A229" t="s">
        <v>832</v>
      </c>
      <c r="B229" t="str">
        <f>VLOOKUP($A229,Szamlaszamok!$A228:F1784,2,FALSE)</f>
      </c>
      <c r="C229" t="str">
        <f>VLOOKUP($A229,Szamlaszamok!$A228:F1784,3,FALSE)</f>
      </c>
      <c r="D229" t="str">
        <f>VLOOKUP($A229,Szamlaszamok!$A228:F1784,4,FALSE)</f>
      </c>
      <c r="E229" t="str">
        <f>DATE(YEAR(D229),MONTH(D229),DAY(D229))</f>
      </c>
      <c r="F229" t="str">
        <f>CONCATENATE(C229,E229)</f>
      </c>
      <c r="G229" t="str">
        <f>TIMEVALUE(D229)</f>
      </c>
      <c r="H229" t="str">
        <f>COUNTIF(Szamlaszamok!A:A,A229)</f>
      </c>
      <c r="I229" t="str">
        <f>SUMIFS(Szamlaszamok!E:E,Szamlaszamok!A:A,Szamlaszamok_nonduplicate!A229)</f>
      </c>
    </row>
    <row r="230" spans="1:9">
      <c r="A230" t="s">
        <v>835</v>
      </c>
      <c r="B230" t="str">
        <f>VLOOKUP($A230,Szamlaszamok!$A229:F1785,2,FALSE)</f>
      </c>
      <c r="C230" t="str">
        <f>VLOOKUP($A230,Szamlaszamok!$A229:F1785,3,FALSE)</f>
      </c>
      <c r="D230" t="str">
        <f>VLOOKUP($A230,Szamlaszamok!$A229:F1785,4,FALSE)</f>
      </c>
      <c r="E230" t="str">
        <f>DATE(YEAR(D230),MONTH(D230),DAY(D230))</f>
      </c>
      <c r="F230" t="str">
        <f>CONCATENATE(C230,E230)</f>
      </c>
      <c r="G230" t="str">
        <f>TIMEVALUE(D230)</f>
      </c>
      <c r="H230" t="str">
        <f>COUNTIF(Szamlaszamok!A:A,A230)</f>
      </c>
      <c r="I230" t="str">
        <f>SUMIFS(Szamlaszamok!E:E,Szamlaszamok!A:A,Szamlaszamok_nonduplicate!A230)</f>
      </c>
    </row>
    <row r="231" spans="1:9">
      <c r="A231" t="s">
        <v>838</v>
      </c>
      <c r="B231" t="str">
        <f>VLOOKUP($A231,Szamlaszamok!$A230:F1786,2,FALSE)</f>
      </c>
      <c r="C231" t="str">
        <f>VLOOKUP($A231,Szamlaszamok!$A230:F1786,3,FALSE)</f>
      </c>
      <c r="D231" t="str">
        <f>VLOOKUP($A231,Szamlaszamok!$A230:F1786,4,FALSE)</f>
      </c>
      <c r="E231" t="str">
        <f>DATE(YEAR(D231),MONTH(D231),DAY(D231))</f>
      </c>
      <c r="F231" t="str">
        <f>CONCATENATE(C231,E231)</f>
      </c>
      <c r="G231" t="str">
        <f>TIMEVALUE(D231)</f>
      </c>
      <c r="H231" t="str">
        <f>COUNTIF(Szamlaszamok!A:A,A231)</f>
      </c>
      <c r="I231" t="str">
        <f>SUMIFS(Szamlaszamok!E:E,Szamlaszamok!A:A,Szamlaszamok_nonduplicate!A231)</f>
      </c>
    </row>
    <row r="232" spans="1:9">
      <c r="A232" t="s">
        <v>841</v>
      </c>
      <c r="B232" t="str">
        <f>VLOOKUP($A232,Szamlaszamok!$A231:F1787,2,FALSE)</f>
      </c>
      <c r="C232" t="str">
        <f>VLOOKUP($A232,Szamlaszamok!$A231:F1787,3,FALSE)</f>
      </c>
      <c r="D232" t="str">
        <f>VLOOKUP($A232,Szamlaszamok!$A231:F1787,4,FALSE)</f>
      </c>
      <c r="E232" t="str">
        <f>DATE(YEAR(D232),MONTH(D232),DAY(D232))</f>
      </c>
      <c r="F232" t="str">
        <f>CONCATENATE(C232,E232)</f>
      </c>
      <c r="G232" t="str">
        <f>TIMEVALUE(D232)</f>
      </c>
      <c r="H232" t="str">
        <f>COUNTIF(Szamlaszamok!A:A,A232)</f>
      </c>
      <c r="I232" t="str">
        <f>SUMIFS(Szamlaszamok!E:E,Szamlaszamok!A:A,Szamlaszamok_nonduplicate!A232)</f>
      </c>
    </row>
    <row r="233" spans="1:9">
      <c r="A233" t="s">
        <v>844</v>
      </c>
      <c r="B233" t="str">
        <f>VLOOKUP($A233,Szamlaszamok!$A232:F1788,2,FALSE)</f>
      </c>
      <c r="C233" t="str">
        <f>VLOOKUP($A233,Szamlaszamok!$A232:F1788,3,FALSE)</f>
      </c>
      <c r="D233" t="str">
        <f>VLOOKUP($A233,Szamlaszamok!$A232:F1788,4,FALSE)</f>
      </c>
      <c r="E233" t="str">
        <f>DATE(YEAR(D233),MONTH(D233),DAY(D233))</f>
      </c>
      <c r="F233" t="str">
        <f>CONCATENATE(C233,E233)</f>
      </c>
      <c r="G233" t="str">
        <f>TIMEVALUE(D233)</f>
      </c>
      <c r="H233" t="str">
        <f>COUNTIF(Szamlaszamok!A:A,A233)</f>
      </c>
      <c r="I233" t="str">
        <f>SUMIFS(Szamlaszamok!E:E,Szamlaszamok!A:A,Szamlaszamok_nonduplicate!A233)</f>
      </c>
    </row>
    <row r="234" spans="1:9">
      <c r="A234" t="s">
        <v>847</v>
      </c>
      <c r="B234" t="str">
        <f>VLOOKUP($A234,Szamlaszamok!$A233:F1789,2,FALSE)</f>
      </c>
      <c r="C234" t="str">
        <f>VLOOKUP($A234,Szamlaszamok!$A233:F1789,3,FALSE)</f>
      </c>
      <c r="D234" t="str">
        <f>VLOOKUP($A234,Szamlaszamok!$A233:F1789,4,FALSE)</f>
      </c>
      <c r="E234" t="str">
        <f>DATE(YEAR(D234),MONTH(D234),DAY(D234))</f>
      </c>
      <c r="F234" t="str">
        <f>CONCATENATE(C234,E234)</f>
      </c>
      <c r="G234" t="str">
        <f>TIMEVALUE(D234)</f>
      </c>
      <c r="H234" t="str">
        <f>COUNTIF(Szamlaszamok!A:A,A234)</f>
      </c>
      <c r="I234" t="str">
        <f>SUMIFS(Szamlaszamok!E:E,Szamlaszamok!A:A,Szamlaszamok_nonduplicate!A234)</f>
      </c>
    </row>
    <row r="235" spans="1:9">
      <c r="A235" t="s">
        <v>851</v>
      </c>
      <c r="B235" t="str">
        <f>VLOOKUP($A235,Szamlaszamok!$A234:F1790,2,FALSE)</f>
      </c>
      <c r="C235" t="str">
        <f>VLOOKUP($A235,Szamlaszamok!$A234:F1790,3,FALSE)</f>
      </c>
      <c r="D235" t="str">
        <f>VLOOKUP($A235,Szamlaszamok!$A234:F1790,4,FALSE)</f>
      </c>
      <c r="E235" t="str">
        <f>DATE(YEAR(D235),MONTH(D235),DAY(D235))</f>
      </c>
      <c r="F235" t="str">
        <f>CONCATENATE(C235,E235)</f>
      </c>
      <c r="G235" t="str">
        <f>TIMEVALUE(D235)</f>
      </c>
      <c r="H235" t="str">
        <f>COUNTIF(Szamlaszamok!A:A,A235)</f>
      </c>
      <c r="I235" t="str">
        <f>SUMIFS(Szamlaszamok!E:E,Szamlaszamok!A:A,Szamlaszamok_nonduplicate!A235)</f>
      </c>
    </row>
    <row r="236" spans="1:9">
      <c r="A236" t="s">
        <v>855</v>
      </c>
      <c r="B236" t="str">
        <f>VLOOKUP($A236,Szamlaszamok!$A235:F1791,2,FALSE)</f>
      </c>
      <c r="C236" t="str">
        <f>VLOOKUP($A236,Szamlaszamok!$A235:F1791,3,FALSE)</f>
      </c>
      <c r="D236" t="str">
        <f>VLOOKUP($A236,Szamlaszamok!$A235:F1791,4,FALSE)</f>
      </c>
      <c r="E236" t="str">
        <f>DATE(YEAR(D236),MONTH(D236),DAY(D236))</f>
      </c>
      <c r="F236" t="str">
        <f>CONCATENATE(C236,E236)</f>
      </c>
      <c r="G236" t="str">
        <f>TIMEVALUE(D236)</f>
      </c>
      <c r="H236" t="str">
        <f>COUNTIF(Szamlaszamok!A:A,A236)</f>
      </c>
      <c r="I236" t="str">
        <f>SUMIFS(Szamlaszamok!E:E,Szamlaszamok!A:A,Szamlaszamok_nonduplicate!A236)</f>
      </c>
    </row>
    <row r="237" spans="1:9">
      <c r="A237" t="s">
        <v>858</v>
      </c>
      <c r="B237" t="str">
        <f>VLOOKUP($A237,Szamlaszamok!$A236:F1792,2,FALSE)</f>
      </c>
      <c r="C237" t="str">
        <f>VLOOKUP($A237,Szamlaszamok!$A236:F1792,3,FALSE)</f>
      </c>
      <c r="D237" t="str">
        <f>VLOOKUP($A237,Szamlaszamok!$A236:F1792,4,FALSE)</f>
      </c>
      <c r="E237" t="str">
        <f>DATE(YEAR(D237),MONTH(D237),DAY(D237))</f>
      </c>
      <c r="F237" t="str">
        <f>CONCATENATE(C237,E237)</f>
      </c>
      <c r="G237" t="str">
        <f>TIMEVALUE(D237)</f>
      </c>
      <c r="H237" t="str">
        <f>COUNTIF(Szamlaszamok!A:A,A237)</f>
      </c>
      <c r="I237" t="str">
        <f>SUMIFS(Szamlaszamok!E:E,Szamlaszamok!A:A,Szamlaszamok_nonduplicate!A237)</f>
      </c>
    </row>
    <row r="238" spans="1:9">
      <c r="A238" t="s">
        <v>861</v>
      </c>
      <c r="B238" t="str">
        <f>VLOOKUP($A238,Szamlaszamok!$A237:F1793,2,FALSE)</f>
      </c>
      <c r="C238" t="str">
        <f>VLOOKUP($A238,Szamlaszamok!$A237:F1793,3,FALSE)</f>
      </c>
      <c r="D238" t="str">
        <f>VLOOKUP($A238,Szamlaszamok!$A237:F1793,4,FALSE)</f>
      </c>
      <c r="E238" t="str">
        <f>DATE(YEAR(D238),MONTH(D238),DAY(D238))</f>
      </c>
      <c r="F238" t="str">
        <f>CONCATENATE(C238,E238)</f>
      </c>
      <c r="G238" t="str">
        <f>TIMEVALUE(D238)</f>
      </c>
      <c r="H238" t="str">
        <f>COUNTIF(Szamlaszamok!A:A,A238)</f>
      </c>
      <c r="I238" t="str">
        <f>SUMIFS(Szamlaszamok!E:E,Szamlaszamok!A:A,Szamlaszamok_nonduplicate!A238)</f>
      </c>
    </row>
    <row r="239" spans="1:9">
      <c r="A239" t="s">
        <v>865</v>
      </c>
      <c r="B239" t="str">
        <f>VLOOKUP($A239,Szamlaszamok!$A238:F1794,2,FALSE)</f>
      </c>
      <c r="C239" t="str">
        <f>VLOOKUP($A239,Szamlaszamok!$A238:F1794,3,FALSE)</f>
      </c>
      <c r="D239" t="str">
        <f>VLOOKUP($A239,Szamlaszamok!$A238:F1794,4,FALSE)</f>
      </c>
      <c r="E239" t="str">
        <f>DATE(YEAR(D239),MONTH(D239),DAY(D239))</f>
      </c>
      <c r="F239" t="str">
        <f>CONCATENATE(C239,E239)</f>
      </c>
      <c r="G239" t="str">
        <f>TIMEVALUE(D239)</f>
      </c>
      <c r="H239" t="str">
        <f>COUNTIF(Szamlaszamok!A:A,A239)</f>
      </c>
      <c r="I239" t="str">
        <f>SUMIFS(Szamlaszamok!E:E,Szamlaszamok!A:A,Szamlaszamok_nonduplicate!A239)</f>
      </c>
    </row>
    <row r="240" spans="1:9">
      <c r="A240" t="s">
        <v>869</v>
      </c>
      <c r="B240" t="str">
        <f>VLOOKUP($A240,Szamlaszamok!$A239:F1795,2,FALSE)</f>
      </c>
      <c r="C240" t="str">
        <f>VLOOKUP($A240,Szamlaszamok!$A239:F1795,3,FALSE)</f>
      </c>
      <c r="D240" t="str">
        <f>VLOOKUP($A240,Szamlaszamok!$A239:F1795,4,FALSE)</f>
      </c>
      <c r="E240" t="str">
        <f>DATE(YEAR(D240),MONTH(D240),DAY(D240))</f>
      </c>
      <c r="F240" t="str">
        <f>CONCATENATE(C240,E240)</f>
      </c>
      <c r="G240" t="str">
        <f>TIMEVALUE(D240)</f>
      </c>
      <c r="H240" t="str">
        <f>COUNTIF(Szamlaszamok!A:A,A240)</f>
      </c>
      <c r="I240" t="str">
        <f>SUMIFS(Szamlaszamok!E:E,Szamlaszamok!A:A,Szamlaszamok_nonduplicate!A240)</f>
      </c>
    </row>
    <row r="241" spans="1:9">
      <c r="A241" t="s">
        <v>873</v>
      </c>
      <c r="B241" t="str">
        <f>VLOOKUP($A241,Szamlaszamok!$A240:F1796,2,FALSE)</f>
      </c>
      <c r="C241" t="str">
        <f>VLOOKUP($A241,Szamlaszamok!$A240:F1796,3,FALSE)</f>
      </c>
      <c r="D241" t="str">
        <f>VLOOKUP($A241,Szamlaszamok!$A240:F1796,4,FALSE)</f>
      </c>
      <c r="E241" t="str">
        <f>DATE(YEAR(D241),MONTH(D241),DAY(D241))</f>
      </c>
      <c r="F241" t="str">
        <f>CONCATENATE(C241,E241)</f>
      </c>
      <c r="G241" t="str">
        <f>TIMEVALUE(D241)</f>
      </c>
      <c r="H241" t="str">
        <f>COUNTIF(Szamlaszamok!A:A,A241)</f>
      </c>
      <c r="I241" t="str">
        <f>SUMIFS(Szamlaszamok!E:E,Szamlaszamok!A:A,Szamlaszamok_nonduplicate!A241)</f>
      </c>
    </row>
    <row r="242" spans="1:9">
      <c r="A242" t="s">
        <v>876</v>
      </c>
      <c r="B242" t="str">
        <f>VLOOKUP($A242,Szamlaszamok!$A241:F1797,2,FALSE)</f>
      </c>
      <c r="C242" t="str">
        <f>VLOOKUP($A242,Szamlaszamok!$A241:F1797,3,FALSE)</f>
      </c>
      <c r="D242" t="str">
        <f>VLOOKUP($A242,Szamlaszamok!$A241:F1797,4,FALSE)</f>
      </c>
      <c r="E242" t="str">
        <f>DATE(YEAR(D242),MONTH(D242),DAY(D242))</f>
      </c>
      <c r="F242" t="str">
        <f>CONCATENATE(C242,E242)</f>
      </c>
      <c r="G242" t="str">
        <f>TIMEVALUE(D242)</f>
      </c>
      <c r="H242" t="str">
        <f>COUNTIF(Szamlaszamok!A:A,A242)</f>
      </c>
      <c r="I242" t="str">
        <f>SUMIFS(Szamlaszamok!E:E,Szamlaszamok!A:A,Szamlaszamok_nonduplicate!A242)</f>
      </c>
    </row>
    <row r="243" spans="1:9">
      <c r="A243" t="s">
        <v>879</v>
      </c>
      <c r="B243" t="str">
        <f>VLOOKUP($A243,Szamlaszamok!$A242:F1798,2,FALSE)</f>
      </c>
      <c r="C243" t="str">
        <f>VLOOKUP($A243,Szamlaszamok!$A242:F1798,3,FALSE)</f>
      </c>
      <c r="D243" t="str">
        <f>VLOOKUP($A243,Szamlaszamok!$A242:F1798,4,FALSE)</f>
      </c>
      <c r="E243" t="str">
        <f>DATE(YEAR(D243),MONTH(D243),DAY(D243))</f>
      </c>
      <c r="F243" t="str">
        <f>CONCATENATE(C243,E243)</f>
      </c>
      <c r="G243" t="str">
        <f>TIMEVALUE(D243)</f>
      </c>
      <c r="H243" t="str">
        <f>COUNTIF(Szamlaszamok!A:A,A243)</f>
      </c>
      <c r="I243" t="str">
        <f>SUMIFS(Szamlaszamok!E:E,Szamlaszamok!A:A,Szamlaszamok_nonduplicate!A243)</f>
      </c>
    </row>
    <row r="244" spans="1:9">
      <c r="A244" t="s">
        <v>883</v>
      </c>
      <c r="B244" t="str">
        <f>VLOOKUP($A244,Szamlaszamok!$A243:F1799,2,FALSE)</f>
      </c>
      <c r="C244" t="str">
        <f>VLOOKUP($A244,Szamlaszamok!$A243:F1799,3,FALSE)</f>
      </c>
      <c r="D244" t="str">
        <f>VLOOKUP($A244,Szamlaszamok!$A243:F1799,4,FALSE)</f>
      </c>
      <c r="E244" t="str">
        <f>DATE(YEAR(D244),MONTH(D244),DAY(D244))</f>
      </c>
      <c r="F244" t="str">
        <f>CONCATENATE(C244,E244)</f>
      </c>
      <c r="G244" t="str">
        <f>TIMEVALUE(D244)</f>
      </c>
      <c r="H244" t="str">
        <f>COUNTIF(Szamlaszamok!A:A,A244)</f>
      </c>
      <c r="I244" t="str">
        <f>SUMIFS(Szamlaszamok!E:E,Szamlaszamok!A:A,Szamlaszamok_nonduplicate!A244)</f>
      </c>
    </row>
    <row r="245" spans="1:9">
      <c r="A245" t="s">
        <v>885</v>
      </c>
      <c r="B245" t="str">
        <f>VLOOKUP($A245,Szamlaszamok!$A244:F1800,2,FALSE)</f>
      </c>
      <c r="C245" t="str">
        <f>VLOOKUP($A245,Szamlaszamok!$A244:F1800,3,FALSE)</f>
      </c>
      <c r="D245" t="str">
        <f>VLOOKUP($A245,Szamlaszamok!$A244:F1800,4,FALSE)</f>
      </c>
      <c r="E245" t="str">
        <f>DATE(YEAR(D245),MONTH(D245),DAY(D245))</f>
      </c>
      <c r="F245" t="str">
        <f>CONCATENATE(C245,E245)</f>
      </c>
      <c r="G245" t="str">
        <f>TIMEVALUE(D245)</f>
      </c>
      <c r="H245" t="str">
        <f>COUNTIF(Szamlaszamok!A:A,A245)</f>
      </c>
      <c r="I245" t="str">
        <f>SUMIFS(Szamlaszamok!E:E,Szamlaszamok!A:A,Szamlaszamok_nonduplicate!A245)</f>
      </c>
    </row>
    <row r="246" spans="1:9">
      <c r="A246" t="s">
        <v>889</v>
      </c>
      <c r="B246" t="str">
        <f>VLOOKUP($A246,Szamlaszamok!$A245:F1801,2,FALSE)</f>
      </c>
      <c r="C246" t="str">
        <f>VLOOKUP($A246,Szamlaszamok!$A245:F1801,3,FALSE)</f>
      </c>
      <c r="D246" t="str">
        <f>VLOOKUP($A246,Szamlaszamok!$A245:F1801,4,FALSE)</f>
      </c>
      <c r="E246" t="str">
        <f>DATE(YEAR(D246),MONTH(D246),DAY(D246))</f>
      </c>
      <c r="F246" t="str">
        <f>CONCATENATE(C246,E246)</f>
      </c>
      <c r="G246" t="str">
        <f>TIMEVALUE(D246)</f>
      </c>
      <c r="H246" t="str">
        <f>COUNTIF(Szamlaszamok!A:A,A246)</f>
      </c>
      <c r="I246" t="str">
        <f>SUMIFS(Szamlaszamok!E:E,Szamlaszamok!A:A,Szamlaszamok_nonduplicate!A246)</f>
      </c>
    </row>
    <row r="247" spans="1:9">
      <c r="A247" t="s">
        <v>892</v>
      </c>
      <c r="B247" t="str">
        <f>VLOOKUP($A247,Szamlaszamok!$A246:F1802,2,FALSE)</f>
      </c>
      <c r="C247" t="str">
        <f>VLOOKUP($A247,Szamlaszamok!$A246:F1802,3,FALSE)</f>
      </c>
      <c r="D247" t="str">
        <f>VLOOKUP($A247,Szamlaszamok!$A246:F1802,4,FALSE)</f>
      </c>
      <c r="E247" t="str">
        <f>DATE(YEAR(D247),MONTH(D247),DAY(D247))</f>
      </c>
      <c r="F247" t="str">
        <f>CONCATENATE(C247,E247)</f>
      </c>
      <c r="G247" t="str">
        <f>TIMEVALUE(D247)</f>
      </c>
      <c r="H247" t="str">
        <f>COUNTIF(Szamlaszamok!A:A,A247)</f>
      </c>
      <c r="I247" t="str">
        <f>SUMIFS(Szamlaszamok!E:E,Szamlaszamok!A:A,Szamlaszamok_nonduplicate!A247)</f>
      </c>
    </row>
    <row r="248" spans="1:9">
      <c r="A248" t="s">
        <v>896</v>
      </c>
      <c r="B248" t="str">
        <f>VLOOKUP($A248,Szamlaszamok!$A247:F1803,2,FALSE)</f>
      </c>
      <c r="C248" t="str">
        <f>VLOOKUP($A248,Szamlaszamok!$A247:F1803,3,FALSE)</f>
      </c>
      <c r="D248" t="str">
        <f>VLOOKUP($A248,Szamlaszamok!$A247:F1803,4,FALSE)</f>
      </c>
      <c r="E248" t="str">
        <f>DATE(YEAR(D248),MONTH(D248),DAY(D248))</f>
      </c>
      <c r="F248" t="str">
        <f>CONCATENATE(C248,E248)</f>
      </c>
      <c r="G248" t="str">
        <f>TIMEVALUE(D248)</f>
      </c>
      <c r="H248" t="str">
        <f>COUNTIF(Szamlaszamok!A:A,A248)</f>
      </c>
      <c r="I248" t="str">
        <f>SUMIFS(Szamlaszamok!E:E,Szamlaszamok!A:A,Szamlaszamok_nonduplicate!A248)</f>
      </c>
    </row>
    <row r="249" spans="1:9">
      <c r="A249" t="s">
        <v>899</v>
      </c>
      <c r="B249" t="str">
        <f>VLOOKUP($A249,Szamlaszamok!$A248:F1804,2,FALSE)</f>
      </c>
      <c r="C249" t="str">
        <f>VLOOKUP($A249,Szamlaszamok!$A248:F1804,3,FALSE)</f>
      </c>
      <c r="D249" t="str">
        <f>VLOOKUP($A249,Szamlaszamok!$A248:F1804,4,FALSE)</f>
      </c>
      <c r="E249" t="str">
        <f>DATE(YEAR(D249),MONTH(D249),DAY(D249))</f>
      </c>
      <c r="F249" t="str">
        <f>CONCATENATE(C249,E249)</f>
      </c>
      <c r="G249" t="str">
        <f>TIMEVALUE(D249)</f>
      </c>
      <c r="H249" t="str">
        <f>COUNTIF(Szamlaszamok!A:A,A249)</f>
      </c>
      <c r="I249" t="str">
        <f>SUMIFS(Szamlaszamok!E:E,Szamlaszamok!A:A,Szamlaszamok_nonduplicate!A249)</f>
      </c>
    </row>
    <row r="250" spans="1:9">
      <c r="A250" t="s">
        <v>903</v>
      </c>
      <c r="B250" t="str">
        <f>VLOOKUP($A250,Szamlaszamok!$A249:F1805,2,FALSE)</f>
      </c>
      <c r="C250" t="str">
        <f>VLOOKUP($A250,Szamlaszamok!$A249:F1805,3,FALSE)</f>
      </c>
      <c r="D250" t="str">
        <f>VLOOKUP($A250,Szamlaszamok!$A249:F1805,4,FALSE)</f>
      </c>
      <c r="E250" t="str">
        <f>DATE(YEAR(D250),MONTH(D250),DAY(D250))</f>
      </c>
      <c r="F250" t="str">
        <f>CONCATENATE(C250,E250)</f>
      </c>
      <c r="G250" t="str">
        <f>TIMEVALUE(D250)</f>
      </c>
      <c r="H250" t="str">
        <f>COUNTIF(Szamlaszamok!A:A,A250)</f>
      </c>
      <c r="I250" t="str">
        <f>SUMIFS(Szamlaszamok!E:E,Szamlaszamok!A:A,Szamlaszamok_nonduplicate!A250)</f>
      </c>
    </row>
    <row r="251" spans="1:9">
      <c r="A251" t="s">
        <v>906</v>
      </c>
      <c r="B251" t="str">
        <f>VLOOKUP($A251,Szamlaszamok!$A250:F1806,2,FALSE)</f>
      </c>
      <c r="C251" t="str">
        <f>VLOOKUP($A251,Szamlaszamok!$A250:F1806,3,FALSE)</f>
      </c>
      <c r="D251" t="str">
        <f>VLOOKUP($A251,Szamlaszamok!$A250:F1806,4,FALSE)</f>
      </c>
      <c r="E251" t="str">
        <f>DATE(YEAR(D251),MONTH(D251),DAY(D251))</f>
      </c>
      <c r="F251" t="str">
        <f>CONCATENATE(C251,E251)</f>
      </c>
      <c r="G251" t="str">
        <f>TIMEVALUE(D251)</f>
      </c>
      <c r="H251" t="str">
        <f>COUNTIF(Szamlaszamok!A:A,A251)</f>
      </c>
      <c r="I251" t="str">
        <f>SUMIFS(Szamlaszamok!E:E,Szamlaszamok!A:A,Szamlaszamok_nonduplicate!A251)</f>
      </c>
    </row>
    <row r="252" spans="1:9">
      <c r="A252" t="s">
        <v>910</v>
      </c>
      <c r="B252" t="str">
        <f>VLOOKUP($A252,Szamlaszamok!$A251:F1807,2,FALSE)</f>
      </c>
      <c r="C252" t="str">
        <f>VLOOKUP($A252,Szamlaszamok!$A251:F1807,3,FALSE)</f>
      </c>
      <c r="D252" t="str">
        <f>VLOOKUP($A252,Szamlaszamok!$A251:F1807,4,FALSE)</f>
      </c>
      <c r="E252" t="str">
        <f>DATE(YEAR(D252),MONTH(D252),DAY(D252))</f>
      </c>
      <c r="F252" t="str">
        <f>CONCATENATE(C252,E252)</f>
      </c>
      <c r="G252" t="str">
        <f>TIMEVALUE(D252)</f>
      </c>
      <c r="H252" t="str">
        <f>COUNTIF(Szamlaszamok!A:A,A252)</f>
      </c>
      <c r="I252" t="str">
        <f>SUMIFS(Szamlaszamok!E:E,Szamlaszamok!A:A,Szamlaszamok_nonduplicate!A252)</f>
      </c>
    </row>
    <row r="253" spans="1:9">
      <c r="A253" t="s">
        <v>913</v>
      </c>
      <c r="B253" t="str">
        <f>VLOOKUP($A253,Szamlaszamok!$A252:F1808,2,FALSE)</f>
      </c>
      <c r="C253" t="str">
        <f>VLOOKUP($A253,Szamlaszamok!$A252:F1808,3,FALSE)</f>
      </c>
      <c r="D253" t="str">
        <f>VLOOKUP($A253,Szamlaszamok!$A252:F1808,4,FALSE)</f>
      </c>
      <c r="E253" t="str">
        <f>DATE(YEAR(D253),MONTH(D253),DAY(D253))</f>
      </c>
      <c r="F253" t="str">
        <f>CONCATENATE(C253,E253)</f>
      </c>
      <c r="G253" t="str">
        <f>TIMEVALUE(D253)</f>
      </c>
      <c r="H253" t="str">
        <f>COUNTIF(Szamlaszamok!A:A,A253)</f>
      </c>
      <c r="I253" t="str">
        <f>SUMIFS(Szamlaszamok!E:E,Szamlaszamok!A:A,Szamlaszamok_nonduplicate!A253)</f>
      </c>
    </row>
    <row r="254" spans="1:9">
      <c r="A254" t="s">
        <v>917</v>
      </c>
      <c r="B254" t="str">
        <f>VLOOKUP($A254,Szamlaszamok!$A253:F1809,2,FALSE)</f>
      </c>
      <c r="C254" t="str">
        <f>VLOOKUP($A254,Szamlaszamok!$A253:F1809,3,FALSE)</f>
      </c>
      <c r="D254" t="str">
        <f>VLOOKUP($A254,Szamlaszamok!$A253:F1809,4,FALSE)</f>
      </c>
      <c r="E254" t="str">
        <f>DATE(YEAR(D254),MONTH(D254),DAY(D254))</f>
      </c>
      <c r="F254" t="str">
        <f>CONCATENATE(C254,E254)</f>
      </c>
      <c r="G254" t="str">
        <f>TIMEVALUE(D254)</f>
      </c>
      <c r="H254" t="str">
        <f>COUNTIF(Szamlaszamok!A:A,A254)</f>
      </c>
      <c r="I254" t="str">
        <f>SUMIFS(Szamlaszamok!E:E,Szamlaszamok!A:A,Szamlaszamok_nonduplicate!A254)</f>
      </c>
    </row>
    <row r="255" spans="1:9">
      <c r="A255" t="s">
        <v>920</v>
      </c>
      <c r="B255" t="str">
        <f>VLOOKUP($A255,Szamlaszamok!$A254:F1810,2,FALSE)</f>
      </c>
      <c r="C255" t="str">
        <f>VLOOKUP($A255,Szamlaszamok!$A254:F1810,3,FALSE)</f>
      </c>
      <c r="D255" t="str">
        <f>VLOOKUP($A255,Szamlaszamok!$A254:F1810,4,FALSE)</f>
      </c>
      <c r="E255" t="str">
        <f>DATE(YEAR(D255),MONTH(D255),DAY(D255))</f>
      </c>
      <c r="F255" t="str">
        <f>CONCATENATE(C255,E255)</f>
      </c>
      <c r="G255" t="str">
        <f>TIMEVALUE(D255)</f>
      </c>
      <c r="H255" t="str">
        <f>COUNTIF(Szamlaszamok!A:A,A255)</f>
      </c>
      <c r="I255" t="str">
        <f>SUMIFS(Szamlaszamok!E:E,Szamlaszamok!A:A,Szamlaszamok_nonduplicate!A255)</f>
      </c>
    </row>
    <row r="256" spans="1:9">
      <c r="A256" t="s">
        <v>923</v>
      </c>
      <c r="B256" t="str">
        <f>VLOOKUP($A256,Szamlaszamok!$A255:F1811,2,FALSE)</f>
      </c>
      <c r="C256" t="str">
        <f>VLOOKUP($A256,Szamlaszamok!$A255:F1811,3,FALSE)</f>
      </c>
      <c r="D256" t="str">
        <f>VLOOKUP($A256,Szamlaszamok!$A255:F1811,4,FALSE)</f>
      </c>
      <c r="E256" t="str">
        <f>DATE(YEAR(D256),MONTH(D256),DAY(D256))</f>
      </c>
      <c r="F256" t="str">
        <f>CONCATENATE(C256,E256)</f>
      </c>
      <c r="G256" t="str">
        <f>TIMEVALUE(D256)</f>
      </c>
      <c r="H256" t="str">
        <f>COUNTIF(Szamlaszamok!A:A,A256)</f>
      </c>
      <c r="I256" t="str">
        <f>SUMIFS(Szamlaszamok!E:E,Szamlaszamok!A:A,Szamlaszamok_nonduplicate!A256)</f>
      </c>
    </row>
    <row r="257" spans="1:9">
      <c r="A257" t="s">
        <v>926</v>
      </c>
      <c r="B257" t="str">
        <f>VLOOKUP($A257,Szamlaszamok!$A256:F1812,2,FALSE)</f>
      </c>
      <c r="C257" t="str">
        <f>VLOOKUP($A257,Szamlaszamok!$A256:F1812,3,FALSE)</f>
      </c>
      <c r="D257" t="str">
        <f>VLOOKUP($A257,Szamlaszamok!$A256:F1812,4,FALSE)</f>
      </c>
      <c r="E257" t="str">
        <f>DATE(YEAR(D257),MONTH(D257),DAY(D257))</f>
      </c>
      <c r="F257" t="str">
        <f>CONCATENATE(C257,E257)</f>
      </c>
      <c r="G257" t="str">
        <f>TIMEVALUE(D257)</f>
      </c>
      <c r="H257" t="str">
        <f>COUNTIF(Szamlaszamok!A:A,A257)</f>
      </c>
      <c r="I257" t="str">
        <f>SUMIFS(Szamlaszamok!E:E,Szamlaszamok!A:A,Szamlaszamok_nonduplicate!A257)</f>
      </c>
    </row>
    <row r="258" spans="1:9">
      <c r="A258" t="s">
        <v>930</v>
      </c>
      <c r="B258" t="str">
        <f>VLOOKUP($A258,Szamlaszamok!$A257:F1813,2,FALSE)</f>
      </c>
      <c r="C258" t="str">
        <f>VLOOKUP($A258,Szamlaszamok!$A257:F1813,3,FALSE)</f>
      </c>
      <c r="D258" t="str">
        <f>VLOOKUP($A258,Szamlaszamok!$A257:F1813,4,FALSE)</f>
      </c>
      <c r="E258" t="str">
        <f>DATE(YEAR(D258),MONTH(D258),DAY(D258))</f>
      </c>
      <c r="F258" t="str">
        <f>CONCATENATE(C258,E258)</f>
      </c>
      <c r="G258" t="str">
        <f>TIMEVALUE(D258)</f>
      </c>
      <c r="H258" t="str">
        <f>COUNTIF(Szamlaszamok!A:A,A258)</f>
      </c>
      <c r="I258" t="str">
        <f>SUMIFS(Szamlaszamok!E:E,Szamlaszamok!A:A,Szamlaszamok_nonduplicate!A258)</f>
      </c>
    </row>
    <row r="259" spans="1:9">
      <c r="A259" t="s">
        <v>933</v>
      </c>
      <c r="B259" t="str">
        <f>VLOOKUP($A259,Szamlaszamok!$A258:F1814,2,FALSE)</f>
      </c>
      <c r="C259" t="str">
        <f>VLOOKUP($A259,Szamlaszamok!$A258:F1814,3,FALSE)</f>
      </c>
      <c r="D259" t="str">
        <f>VLOOKUP($A259,Szamlaszamok!$A258:F1814,4,FALSE)</f>
      </c>
      <c r="E259" t="str">
        <f>DATE(YEAR(D259),MONTH(D259),DAY(D259))</f>
      </c>
      <c r="F259" t="str">
        <f>CONCATENATE(C259,E259)</f>
      </c>
      <c r="G259" t="str">
        <f>TIMEVALUE(D259)</f>
      </c>
      <c r="H259" t="str">
        <f>COUNTIF(Szamlaszamok!A:A,A259)</f>
      </c>
      <c r="I259" t="str">
        <f>SUMIFS(Szamlaszamok!E:E,Szamlaszamok!A:A,Szamlaszamok_nonduplicate!A259)</f>
      </c>
    </row>
    <row r="260" spans="1:9">
      <c r="A260" t="s">
        <v>936</v>
      </c>
      <c r="B260" t="str">
        <f>VLOOKUP($A260,Szamlaszamok!$A259:F1815,2,FALSE)</f>
      </c>
      <c r="C260" t="str">
        <f>VLOOKUP($A260,Szamlaszamok!$A259:F1815,3,FALSE)</f>
      </c>
      <c r="D260" t="str">
        <f>VLOOKUP($A260,Szamlaszamok!$A259:F1815,4,FALSE)</f>
      </c>
      <c r="E260" t="str">
        <f>DATE(YEAR(D260),MONTH(D260),DAY(D260))</f>
      </c>
      <c r="F260" t="str">
        <f>CONCATENATE(C260,E260)</f>
      </c>
      <c r="G260" t="str">
        <f>TIMEVALUE(D260)</f>
      </c>
      <c r="H260" t="str">
        <f>COUNTIF(Szamlaszamok!A:A,A260)</f>
      </c>
      <c r="I260" t="str">
        <f>SUMIFS(Szamlaszamok!E:E,Szamlaszamok!A:A,Szamlaszamok_nonduplicate!A260)</f>
      </c>
    </row>
    <row r="261" spans="1:9">
      <c r="A261" t="s">
        <v>939</v>
      </c>
      <c r="B261" t="str">
        <f>VLOOKUP($A261,Szamlaszamok!$A260:F1816,2,FALSE)</f>
      </c>
      <c r="C261" t="str">
        <f>VLOOKUP($A261,Szamlaszamok!$A260:F1816,3,FALSE)</f>
      </c>
      <c r="D261" t="str">
        <f>VLOOKUP($A261,Szamlaszamok!$A260:F1816,4,FALSE)</f>
      </c>
      <c r="E261" t="str">
        <f>DATE(YEAR(D261),MONTH(D261),DAY(D261))</f>
      </c>
      <c r="F261" t="str">
        <f>CONCATENATE(C261,E261)</f>
      </c>
      <c r="G261" t="str">
        <f>TIMEVALUE(D261)</f>
      </c>
      <c r="H261" t="str">
        <f>COUNTIF(Szamlaszamok!A:A,A261)</f>
      </c>
      <c r="I261" t="str">
        <f>SUMIFS(Szamlaszamok!E:E,Szamlaszamok!A:A,Szamlaszamok_nonduplicate!A261)</f>
      </c>
    </row>
    <row r="262" spans="1:9">
      <c r="A262" t="s">
        <v>942</v>
      </c>
      <c r="B262" t="str">
        <f>VLOOKUP($A262,Szamlaszamok!$A261:F1817,2,FALSE)</f>
      </c>
      <c r="C262" t="str">
        <f>VLOOKUP($A262,Szamlaszamok!$A261:F1817,3,FALSE)</f>
      </c>
      <c r="D262" t="str">
        <f>VLOOKUP($A262,Szamlaszamok!$A261:F1817,4,FALSE)</f>
      </c>
      <c r="E262" t="str">
        <f>DATE(YEAR(D262),MONTH(D262),DAY(D262))</f>
      </c>
      <c r="F262" t="str">
        <f>CONCATENATE(C262,E262)</f>
      </c>
      <c r="G262" t="str">
        <f>TIMEVALUE(D262)</f>
      </c>
      <c r="H262" t="str">
        <f>COUNTIF(Szamlaszamok!A:A,A262)</f>
      </c>
      <c r="I262" t="str">
        <f>SUMIFS(Szamlaszamok!E:E,Szamlaszamok!A:A,Szamlaszamok_nonduplicate!A262)</f>
      </c>
    </row>
    <row r="263" spans="1:9">
      <c r="A263" t="s">
        <v>945</v>
      </c>
      <c r="B263" t="str">
        <f>VLOOKUP($A263,Szamlaszamok!$A262:F1818,2,FALSE)</f>
      </c>
      <c r="C263" t="str">
        <f>VLOOKUP($A263,Szamlaszamok!$A262:F1818,3,FALSE)</f>
      </c>
      <c r="D263" t="str">
        <f>VLOOKUP($A263,Szamlaszamok!$A262:F1818,4,FALSE)</f>
      </c>
      <c r="E263" t="str">
        <f>DATE(YEAR(D263),MONTH(D263),DAY(D263))</f>
      </c>
      <c r="F263" t="str">
        <f>CONCATENATE(C263,E263)</f>
      </c>
      <c r="G263" t="str">
        <f>TIMEVALUE(D263)</f>
      </c>
      <c r="H263" t="str">
        <f>COUNTIF(Szamlaszamok!A:A,A263)</f>
      </c>
      <c r="I263" t="str">
        <f>SUMIFS(Szamlaszamok!E:E,Szamlaszamok!A:A,Szamlaszamok_nonduplicate!A263)</f>
      </c>
    </row>
    <row r="264" spans="1:9">
      <c r="A264" t="s">
        <v>949</v>
      </c>
      <c r="B264" t="str">
        <f>VLOOKUP($A264,Szamlaszamok!$A263:F1819,2,FALSE)</f>
      </c>
      <c r="C264" t="str">
        <f>VLOOKUP($A264,Szamlaszamok!$A263:F1819,3,FALSE)</f>
      </c>
      <c r="D264" t="str">
        <f>VLOOKUP($A264,Szamlaszamok!$A263:F1819,4,FALSE)</f>
      </c>
      <c r="E264" t="str">
        <f>DATE(YEAR(D264),MONTH(D264),DAY(D264))</f>
      </c>
      <c r="F264" t="str">
        <f>CONCATENATE(C264,E264)</f>
      </c>
      <c r="G264" t="str">
        <f>TIMEVALUE(D264)</f>
      </c>
      <c r="H264" t="str">
        <f>COUNTIF(Szamlaszamok!A:A,A264)</f>
      </c>
      <c r="I264" t="str">
        <f>SUMIFS(Szamlaszamok!E:E,Szamlaszamok!A:A,Szamlaszamok_nonduplicate!A264)</f>
      </c>
    </row>
    <row r="265" spans="1:9">
      <c r="A265" t="s">
        <v>952</v>
      </c>
      <c r="B265" t="str">
        <f>VLOOKUP($A265,Szamlaszamok!$A264:F1820,2,FALSE)</f>
      </c>
      <c r="C265" t="str">
        <f>VLOOKUP($A265,Szamlaszamok!$A264:F1820,3,FALSE)</f>
      </c>
      <c r="D265" t="str">
        <f>VLOOKUP($A265,Szamlaszamok!$A264:F1820,4,FALSE)</f>
      </c>
      <c r="E265" t="str">
        <f>DATE(YEAR(D265),MONTH(D265),DAY(D265))</f>
      </c>
      <c r="F265" t="str">
        <f>CONCATENATE(C265,E265)</f>
      </c>
      <c r="G265" t="str">
        <f>TIMEVALUE(D265)</f>
      </c>
      <c r="H265" t="str">
        <f>COUNTIF(Szamlaszamok!A:A,A265)</f>
      </c>
      <c r="I265" t="str">
        <f>SUMIFS(Szamlaszamok!E:E,Szamlaszamok!A:A,Szamlaszamok_nonduplicate!A265)</f>
      </c>
    </row>
    <row r="266" spans="1:9">
      <c r="A266" t="s">
        <v>956</v>
      </c>
      <c r="B266" t="str">
        <f>VLOOKUP($A266,Szamlaszamok!$A265:F1821,2,FALSE)</f>
      </c>
      <c r="C266" t="str">
        <f>VLOOKUP($A266,Szamlaszamok!$A265:F1821,3,FALSE)</f>
      </c>
      <c r="D266" t="str">
        <f>VLOOKUP($A266,Szamlaszamok!$A265:F1821,4,FALSE)</f>
      </c>
      <c r="E266" t="str">
        <f>DATE(YEAR(D266),MONTH(D266),DAY(D266))</f>
      </c>
      <c r="F266" t="str">
        <f>CONCATENATE(C266,E266)</f>
      </c>
      <c r="G266" t="str">
        <f>TIMEVALUE(D266)</f>
      </c>
      <c r="H266" t="str">
        <f>COUNTIF(Szamlaszamok!A:A,A266)</f>
      </c>
      <c r="I266" t="str">
        <f>SUMIFS(Szamlaszamok!E:E,Szamlaszamok!A:A,Szamlaszamok_nonduplicate!A266)</f>
      </c>
    </row>
    <row r="267" spans="1:9">
      <c r="A267" t="s">
        <v>959</v>
      </c>
      <c r="B267" t="str">
        <f>VLOOKUP($A267,Szamlaszamok!$A266:F1822,2,FALSE)</f>
      </c>
      <c r="C267" t="str">
        <f>VLOOKUP($A267,Szamlaszamok!$A266:F1822,3,FALSE)</f>
      </c>
      <c r="D267" t="str">
        <f>VLOOKUP($A267,Szamlaszamok!$A266:F1822,4,FALSE)</f>
      </c>
      <c r="E267" t="str">
        <f>DATE(YEAR(D267),MONTH(D267),DAY(D267))</f>
      </c>
      <c r="F267" t="str">
        <f>CONCATENATE(C267,E267)</f>
      </c>
      <c r="G267" t="str">
        <f>TIMEVALUE(D267)</f>
      </c>
      <c r="H267" t="str">
        <f>COUNTIF(Szamlaszamok!A:A,A267)</f>
      </c>
      <c r="I267" t="str">
        <f>SUMIFS(Szamlaszamok!E:E,Szamlaszamok!A:A,Szamlaszamok_nonduplicate!A267)</f>
      </c>
    </row>
    <row r="268" spans="1:9">
      <c r="A268" t="s">
        <v>963</v>
      </c>
      <c r="B268" t="str">
        <f>VLOOKUP($A268,Szamlaszamok!$A267:F1823,2,FALSE)</f>
      </c>
      <c r="C268" t="str">
        <f>VLOOKUP($A268,Szamlaszamok!$A267:F1823,3,FALSE)</f>
      </c>
      <c r="D268" t="str">
        <f>VLOOKUP($A268,Szamlaszamok!$A267:F1823,4,FALSE)</f>
      </c>
      <c r="E268" t="str">
        <f>DATE(YEAR(D268),MONTH(D268),DAY(D268))</f>
      </c>
      <c r="F268" t="str">
        <f>CONCATENATE(C268,E268)</f>
      </c>
      <c r="G268" t="str">
        <f>TIMEVALUE(D268)</f>
      </c>
      <c r="H268" t="str">
        <f>COUNTIF(Szamlaszamok!A:A,A268)</f>
      </c>
      <c r="I268" t="str">
        <f>SUMIFS(Szamlaszamok!E:E,Szamlaszamok!A:A,Szamlaszamok_nonduplicate!A268)</f>
      </c>
    </row>
    <row r="269" spans="1:9">
      <c r="A269" t="s">
        <v>966</v>
      </c>
      <c r="B269" t="str">
        <f>VLOOKUP($A269,Szamlaszamok!$A268:F1824,2,FALSE)</f>
      </c>
      <c r="C269" t="str">
        <f>VLOOKUP($A269,Szamlaszamok!$A268:F1824,3,FALSE)</f>
      </c>
      <c r="D269" t="str">
        <f>VLOOKUP($A269,Szamlaszamok!$A268:F1824,4,FALSE)</f>
      </c>
      <c r="E269" t="str">
        <f>DATE(YEAR(D269),MONTH(D269),DAY(D269))</f>
      </c>
      <c r="F269" t="str">
        <f>CONCATENATE(C269,E269)</f>
      </c>
      <c r="G269" t="str">
        <f>TIMEVALUE(D269)</f>
      </c>
      <c r="H269" t="str">
        <f>COUNTIF(Szamlaszamok!A:A,A269)</f>
      </c>
      <c r="I269" t="str">
        <f>SUMIFS(Szamlaszamok!E:E,Szamlaszamok!A:A,Szamlaszamok_nonduplicate!A269)</f>
      </c>
    </row>
    <row r="270" spans="1:9">
      <c r="A270" t="s">
        <v>969</v>
      </c>
      <c r="B270" t="str">
        <f>VLOOKUP($A270,Szamlaszamok!$A269:F1825,2,FALSE)</f>
      </c>
      <c r="C270" t="str">
        <f>VLOOKUP($A270,Szamlaszamok!$A269:F1825,3,FALSE)</f>
      </c>
      <c r="D270" t="str">
        <f>VLOOKUP($A270,Szamlaszamok!$A269:F1825,4,FALSE)</f>
      </c>
      <c r="E270" t="str">
        <f>DATE(YEAR(D270),MONTH(D270),DAY(D270))</f>
      </c>
      <c r="F270" t="str">
        <f>CONCATENATE(C270,E270)</f>
      </c>
      <c r="G270" t="str">
        <f>TIMEVALUE(D270)</f>
      </c>
      <c r="H270" t="str">
        <f>COUNTIF(Szamlaszamok!A:A,A270)</f>
      </c>
      <c r="I270" t="str">
        <f>SUMIFS(Szamlaszamok!E:E,Szamlaszamok!A:A,Szamlaszamok_nonduplicate!A270)</f>
      </c>
    </row>
    <row r="271" spans="1:9">
      <c r="A271" t="s">
        <v>973</v>
      </c>
      <c r="B271" t="str">
        <f>VLOOKUP($A271,Szamlaszamok!$A270:F1826,2,FALSE)</f>
      </c>
      <c r="C271" t="str">
        <f>VLOOKUP($A271,Szamlaszamok!$A270:F1826,3,FALSE)</f>
      </c>
      <c r="D271" t="str">
        <f>VLOOKUP($A271,Szamlaszamok!$A270:F1826,4,FALSE)</f>
      </c>
      <c r="E271" t="str">
        <f>DATE(YEAR(D271),MONTH(D271),DAY(D271))</f>
      </c>
      <c r="F271" t="str">
        <f>CONCATENATE(C271,E271)</f>
      </c>
      <c r="G271" t="str">
        <f>TIMEVALUE(D271)</f>
      </c>
      <c r="H271" t="str">
        <f>COUNTIF(Szamlaszamok!A:A,A271)</f>
      </c>
      <c r="I271" t="str">
        <f>SUMIFS(Szamlaszamok!E:E,Szamlaszamok!A:A,Szamlaszamok_nonduplicate!A271)</f>
      </c>
    </row>
    <row r="272" spans="1:9">
      <c r="A272" t="s">
        <v>976</v>
      </c>
      <c r="B272" t="str">
        <f>VLOOKUP($A272,Szamlaszamok!$A271:F1827,2,FALSE)</f>
      </c>
      <c r="C272" t="str">
        <f>VLOOKUP($A272,Szamlaszamok!$A271:F1827,3,FALSE)</f>
      </c>
      <c r="D272" t="str">
        <f>VLOOKUP($A272,Szamlaszamok!$A271:F1827,4,FALSE)</f>
      </c>
      <c r="E272" t="str">
        <f>DATE(YEAR(D272),MONTH(D272),DAY(D272))</f>
      </c>
      <c r="F272" t="str">
        <f>CONCATENATE(C272,E272)</f>
      </c>
      <c r="G272" t="str">
        <f>TIMEVALUE(D272)</f>
      </c>
      <c r="H272" t="str">
        <f>COUNTIF(Szamlaszamok!A:A,A272)</f>
      </c>
      <c r="I272" t="str">
        <f>SUMIFS(Szamlaszamok!E:E,Szamlaszamok!A:A,Szamlaszamok_nonduplicate!A272)</f>
      </c>
    </row>
    <row r="273" spans="1:9">
      <c r="A273" t="s">
        <v>979</v>
      </c>
      <c r="B273" t="str">
        <f>VLOOKUP($A273,Szamlaszamok!$A272:F1828,2,FALSE)</f>
      </c>
      <c r="C273" t="str">
        <f>VLOOKUP($A273,Szamlaszamok!$A272:F1828,3,FALSE)</f>
      </c>
      <c r="D273" t="str">
        <f>VLOOKUP($A273,Szamlaszamok!$A272:F1828,4,FALSE)</f>
      </c>
      <c r="E273" t="str">
        <f>DATE(YEAR(D273),MONTH(D273),DAY(D273))</f>
      </c>
      <c r="F273" t="str">
        <f>CONCATENATE(C273,E273)</f>
      </c>
      <c r="G273" t="str">
        <f>TIMEVALUE(D273)</f>
      </c>
      <c r="H273" t="str">
        <f>COUNTIF(Szamlaszamok!A:A,A273)</f>
      </c>
      <c r="I273" t="str">
        <f>SUMIFS(Szamlaszamok!E:E,Szamlaszamok!A:A,Szamlaszamok_nonduplicate!A273)</f>
      </c>
    </row>
    <row r="274" spans="1:9">
      <c r="A274" t="s">
        <v>982</v>
      </c>
      <c r="B274" t="str">
        <f>VLOOKUP($A274,Szamlaszamok!$A273:F1829,2,FALSE)</f>
      </c>
      <c r="C274" t="str">
        <f>VLOOKUP($A274,Szamlaszamok!$A273:F1829,3,FALSE)</f>
      </c>
      <c r="D274" t="str">
        <f>VLOOKUP($A274,Szamlaszamok!$A273:F1829,4,FALSE)</f>
      </c>
      <c r="E274" t="str">
        <f>DATE(YEAR(D274),MONTH(D274),DAY(D274))</f>
      </c>
      <c r="F274" t="str">
        <f>CONCATENATE(C274,E274)</f>
      </c>
      <c r="G274" t="str">
        <f>TIMEVALUE(D274)</f>
      </c>
      <c r="H274" t="str">
        <f>COUNTIF(Szamlaszamok!A:A,A274)</f>
      </c>
      <c r="I274" t="str">
        <f>SUMIFS(Szamlaszamok!E:E,Szamlaszamok!A:A,Szamlaszamok_nonduplicate!A274)</f>
      </c>
    </row>
    <row r="275" spans="1:9">
      <c r="A275" t="s">
        <v>985</v>
      </c>
      <c r="B275" t="str">
        <f>VLOOKUP($A275,Szamlaszamok!$A274:F1830,2,FALSE)</f>
      </c>
      <c r="C275" t="str">
        <f>VLOOKUP($A275,Szamlaszamok!$A274:F1830,3,FALSE)</f>
      </c>
      <c r="D275" t="str">
        <f>VLOOKUP($A275,Szamlaszamok!$A274:F1830,4,FALSE)</f>
      </c>
      <c r="E275" t="str">
        <f>DATE(YEAR(D275),MONTH(D275),DAY(D275))</f>
      </c>
      <c r="F275" t="str">
        <f>CONCATENATE(C275,E275)</f>
      </c>
      <c r="G275" t="str">
        <f>TIMEVALUE(D275)</f>
      </c>
      <c r="H275" t="str">
        <f>COUNTIF(Szamlaszamok!A:A,A275)</f>
      </c>
      <c r="I275" t="str">
        <f>SUMIFS(Szamlaszamok!E:E,Szamlaszamok!A:A,Szamlaszamok_nonduplicate!A275)</f>
      </c>
    </row>
    <row r="276" spans="1:9">
      <c r="A276" t="s">
        <v>988</v>
      </c>
      <c r="B276" t="str">
        <f>VLOOKUP($A276,Szamlaszamok!$A275:F1831,2,FALSE)</f>
      </c>
      <c r="C276" t="str">
        <f>VLOOKUP($A276,Szamlaszamok!$A275:F1831,3,FALSE)</f>
      </c>
      <c r="D276" t="str">
        <f>VLOOKUP($A276,Szamlaszamok!$A275:F1831,4,FALSE)</f>
      </c>
      <c r="E276" t="str">
        <f>DATE(YEAR(D276),MONTH(D276),DAY(D276))</f>
      </c>
      <c r="F276" t="str">
        <f>CONCATENATE(C276,E276)</f>
      </c>
      <c r="G276" t="str">
        <f>TIMEVALUE(D276)</f>
      </c>
      <c r="H276" t="str">
        <f>COUNTIF(Szamlaszamok!A:A,A276)</f>
      </c>
      <c r="I276" t="str">
        <f>SUMIFS(Szamlaszamok!E:E,Szamlaszamok!A:A,Szamlaszamok_nonduplicate!A276)</f>
      </c>
    </row>
    <row r="277" spans="1:9">
      <c r="A277" t="s">
        <v>991</v>
      </c>
      <c r="B277" t="str">
        <f>VLOOKUP($A277,Szamlaszamok!$A276:F1832,2,FALSE)</f>
      </c>
      <c r="C277" t="str">
        <f>VLOOKUP($A277,Szamlaszamok!$A276:F1832,3,FALSE)</f>
      </c>
      <c r="D277" t="str">
        <f>VLOOKUP($A277,Szamlaszamok!$A276:F1832,4,FALSE)</f>
      </c>
      <c r="E277" t="str">
        <f>DATE(YEAR(D277),MONTH(D277),DAY(D277))</f>
      </c>
      <c r="F277" t="str">
        <f>CONCATENATE(C277,E277)</f>
      </c>
      <c r="G277" t="str">
        <f>TIMEVALUE(D277)</f>
      </c>
      <c r="H277" t="str">
        <f>COUNTIF(Szamlaszamok!A:A,A277)</f>
      </c>
      <c r="I277" t="str">
        <f>SUMIFS(Szamlaszamok!E:E,Szamlaszamok!A:A,Szamlaszamok_nonduplicate!A277)</f>
      </c>
    </row>
    <row r="278" spans="1:9">
      <c r="A278" t="s">
        <v>994</v>
      </c>
      <c r="B278" t="str">
        <f>VLOOKUP($A278,Szamlaszamok!$A277:F1833,2,FALSE)</f>
      </c>
      <c r="C278" t="str">
        <f>VLOOKUP($A278,Szamlaszamok!$A277:F1833,3,FALSE)</f>
      </c>
      <c r="D278" t="str">
        <f>VLOOKUP($A278,Szamlaszamok!$A277:F1833,4,FALSE)</f>
      </c>
      <c r="E278" t="str">
        <f>DATE(YEAR(D278),MONTH(D278),DAY(D278))</f>
      </c>
      <c r="F278" t="str">
        <f>CONCATENATE(C278,E278)</f>
      </c>
      <c r="G278" t="str">
        <f>TIMEVALUE(D278)</f>
      </c>
      <c r="H278" t="str">
        <f>COUNTIF(Szamlaszamok!A:A,A278)</f>
      </c>
      <c r="I278" t="str">
        <f>SUMIFS(Szamlaszamok!E:E,Szamlaszamok!A:A,Szamlaszamok_nonduplicate!A278)</f>
      </c>
    </row>
    <row r="279" spans="1:9">
      <c r="A279" t="s">
        <v>997</v>
      </c>
      <c r="B279" t="str">
        <f>VLOOKUP($A279,Szamlaszamok!$A278:F1834,2,FALSE)</f>
      </c>
      <c r="C279" t="str">
        <f>VLOOKUP($A279,Szamlaszamok!$A278:F1834,3,FALSE)</f>
      </c>
      <c r="D279" t="str">
        <f>VLOOKUP($A279,Szamlaszamok!$A278:F1834,4,FALSE)</f>
      </c>
      <c r="E279" t="str">
        <f>DATE(YEAR(D279),MONTH(D279),DAY(D279))</f>
      </c>
      <c r="F279" t="str">
        <f>CONCATENATE(C279,E279)</f>
      </c>
      <c r="G279" t="str">
        <f>TIMEVALUE(D279)</f>
      </c>
      <c r="H279" t="str">
        <f>COUNTIF(Szamlaszamok!A:A,A279)</f>
      </c>
      <c r="I279" t="str">
        <f>SUMIFS(Szamlaszamok!E:E,Szamlaszamok!A:A,Szamlaszamok_nonduplicate!A279)</f>
      </c>
    </row>
    <row r="280" spans="1:9">
      <c r="A280" t="s">
        <v>1000</v>
      </c>
      <c r="B280" t="str">
        <f>VLOOKUP($A280,Szamlaszamok!$A279:F1835,2,FALSE)</f>
      </c>
      <c r="C280" t="str">
        <f>VLOOKUP($A280,Szamlaszamok!$A279:F1835,3,FALSE)</f>
      </c>
      <c r="D280" t="str">
        <f>VLOOKUP($A280,Szamlaszamok!$A279:F1835,4,FALSE)</f>
      </c>
      <c r="E280" t="str">
        <f>DATE(YEAR(D280),MONTH(D280),DAY(D280))</f>
      </c>
      <c r="F280" t="str">
        <f>CONCATENATE(C280,E280)</f>
      </c>
      <c r="G280" t="str">
        <f>TIMEVALUE(D280)</f>
      </c>
      <c r="H280" t="str">
        <f>COUNTIF(Szamlaszamok!A:A,A280)</f>
      </c>
      <c r="I280" t="str">
        <f>SUMIFS(Szamlaszamok!E:E,Szamlaszamok!A:A,Szamlaszamok_nonduplicate!A280)</f>
      </c>
    </row>
    <row r="281" spans="1:9">
      <c r="A281" t="s">
        <v>1004</v>
      </c>
      <c r="B281" t="str">
        <f>VLOOKUP($A281,Szamlaszamok!$A280:F1836,2,FALSE)</f>
      </c>
      <c r="C281" t="str">
        <f>VLOOKUP($A281,Szamlaszamok!$A280:F1836,3,FALSE)</f>
      </c>
      <c r="D281" t="str">
        <f>VLOOKUP($A281,Szamlaszamok!$A280:F1836,4,FALSE)</f>
      </c>
      <c r="E281" t="str">
        <f>DATE(YEAR(D281),MONTH(D281),DAY(D281))</f>
      </c>
      <c r="F281" t="str">
        <f>CONCATENATE(C281,E281)</f>
      </c>
      <c r="G281" t="str">
        <f>TIMEVALUE(D281)</f>
      </c>
      <c r="H281" t="str">
        <f>COUNTIF(Szamlaszamok!A:A,A281)</f>
      </c>
      <c r="I281" t="str">
        <f>SUMIFS(Szamlaszamok!E:E,Szamlaszamok!A:A,Szamlaszamok_nonduplicate!A281)</f>
      </c>
    </row>
    <row r="282" spans="1:9">
      <c r="A282" t="s">
        <v>1007</v>
      </c>
      <c r="B282" t="str">
        <f>VLOOKUP($A282,Szamlaszamok!$A281:F1837,2,FALSE)</f>
      </c>
      <c r="C282" t="str">
        <f>VLOOKUP($A282,Szamlaszamok!$A281:F1837,3,FALSE)</f>
      </c>
      <c r="D282" t="str">
        <f>VLOOKUP($A282,Szamlaszamok!$A281:F1837,4,FALSE)</f>
      </c>
      <c r="E282" t="str">
        <f>DATE(YEAR(D282),MONTH(D282),DAY(D282))</f>
      </c>
      <c r="F282" t="str">
        <f>CONCATENATE(C282,E282)</f>
      </c>
      <c r="G282" t="str">
        <f>TIMEVALUE(D282)</f>
      </c>
      <c r="H282" t="str">
        <f>COUNTIF(Szamlaszamok!A:A,A282)</f>
      </c>
      <c r="I282" t="str">
        <f>SUMIFS(Szamlaszamok!E:E,Szamlaszamok!A:A,Szamlaszamok_nonduplicate!A282)</f>
      </c>
    </row>
    <row r="283" spans="1:9">
      <c r="A283" t="s">
        <v>1010</v>
      </c>
      <c r="B283" t="str">
        <f>VLOOKUP($A283,Szamlaszamok!$A282:F1838,2,FALSE)</f>
      </c>
      <c r="C283" t="str">
        <f>VLOOKUP($A283,Szamlaszamok!$A282:F1838,3,FALSE)</f>
      </c>
      <c r="D283" t="str">
        <f>VLOOKUP($A283,Szamlaszamok!$A282:F1838,4,FALSE)</f>
      </c>
      <c r="E283" t="str">
        <f>DATE(YEAR(D283),MONTH(D283),DAY(D283))</f>
      </c>
      <c r="F283" t="str">
        <f>CONCATENATE(C283,E283)</f>
      </c>
      <c r="G283" t="str">
        <f>TIMEVALUE(D283)</f>
      </c>
      <c r="H283" t="str">
        <f>COUNTIF(Szamlaszamok!A:A,A283)</f>
      </c>
      <c r="I283" t="str">
        <f>SUMIFS(Szamlaszamok!E:E,Szamlaszamok!A:A,Szamlaszamok_nonduplicate!A283)</f>
      </c>
    </row>
    <row r="284" spans="1:9">
      <c r="A284" t="s">
        <v>1013</v>
      </c>
      <c r="B284" t="str">
        <f>VLOOKUP($A284,Szamlaszamok!$A283:F1839,2,FALSE)</f>
      </c>
      <c r="C284" t="str">
        <f>VLOOKUP($A284,Szamlaszamok!$A283:F1839,3,FALSE)</f>
      </c>
      <c r="D284" t="str">
        <f>VLOOKUP($A284,Szamlaszamok!$A283:F1839,4,FALSE)</f>
      </c>
      <c r="E284" t="str">
        <f>DATE(YEAR(D284),MONTH(D284),DAY(D284))</f>
      </c>
      <c r="F284" t="str">
        <f>CONCATENATE(C284,E284)</f>
      </c>
      <c r="G284" t="str">
        <f>TIMEVALUE(D284)</f>
      </c>
      <c r="H284" t="str">
        <f>COUNTIF(Szamlaszamok!A:A,A284)</f>
      </c>
      <c r="I284" t="str">
        <f>SUMIFS(Szamlaszamok!E:E,Szamlaszamok!A:A,Szamlaszamok_nonduplicate!A284)</f>
      </c>
    </row>
    <row r="285" spans="1:9">
      <c r="A285" t="s">
        <v>1016</v>
      </c>
      <c r="B285" t="str">
        <f>VLOOKUP($A285,Szamlaszamok!$A284:F1840,2,FALSE)</f>
      </c>
      <c r="C285" t="str">
        <f>VLOOKUP($A285,Szamlaszamok!$A284:F1840,3,FALSE)</f>
      </c>
      <c r="D285" t="str">
        <f>VLOOKUP($A285,Szamlaszamok!$A284:F1840,4,FALSE)</f>
      </c>
      <c r="E285" t="str">
        <f>DATE(YEAR(D285),MONTH(D285),DAY(D285))</f>
      </c>
      <c r="F285" t="str">
        <f>CONCATENATE(C285,E285)</f>
      </c>
      <c r="G285" t="str">
        <f>TIMEVALUE(D285)</f>
      </c>
      <c r="H285" t="str">
        <f>COUNTIF(Szamlaszamok!A:A,A285)</f>
      </c>
      <c r="I285" t="str">
        <f>SUMIFS(Szamlaszamok!E:E,Szamlaszamok!A:A,Szamlaszamok_nonduplicate!A285)</f>
      </c>
    </row>
    <row r="286" spans="1:9">
      <c r="A286" t="s">
        <v>1019</v>
      </c>
      <c r="B286" t="str">
        <f>VLOOKUP($A286,Szamlaszamok!$A285:F1841,2,FALSE)</f>
      </c>
      <c r="C286" t="str">
        <f>VLOOKUP($A286,Szamlaszamok!$A285:F1841,3,FALSE)</f>
      </c>
      <c r="D286" t="str">
        <f>VLOOKUP($A286,Szamlaszamok!$A285:F1841,4,FALSE)</f>
      </c>
      <c r="E286" t="str">
        <f>DATE(YEAR(D286),MONTH(D286),DAY(D286))</f>
      </c>
      <c r="F286" t="str">
        <f>CONCATENATE(C286,E286)</f>
      </c>
      <c r="G286" t="str">
        <f>TIMEVALUE(D286)</f>
      </c>
      <c r="H286" t="str">
        <f>COUNTIF(Szamlaszamok!A:A,A286)</f>
      </c>
      <c r="I286" t="str">
        <f>SUMIFS(Szamlaszamok!E:E,Szamlaszamok!A:A,Szamlaszamok_nonduplicate!A286)</f>
      </c>
    </row>
    <row r="287" spans="1:9">
      <c r="A287" t="s">
        <v>1022</v>
      </c>
      <c r="B287" t="str">
        <f>VLOOKUP($A287,Szamlaszamok!$A286:F1842,2,FALSE)</f>
      </c>
      <c r="C287" t="str">
        <f>VLOOKUP($A287,Szamlaszamok!$A286:F1842,3,FALSE)</f>
      </c>
      <c r="D287" t="str">
        <f>VLOOKUP($A287,Szamlaszamok!$A286:F1842,4,FALSE)</f>
      </c>
      <c r="E287" t="str">
        <f>DATE(YEAR(D287),MONTH(D287),DAY(D287))</f>
      </c>
      <c r="F287" t="str">
        <f>CONCATENATE(C287,E287)</f>
      </c>
      <c r="G287" t="str">
        <f>TIMEVALUE(D287)</f>
      </c>
      <c r="H287" t="str">
        <f>COUNTIF(Szamlaszamok!A:A,A287)</f>
      </c>
      <c r="I287" t="str">
        <f>SUMIFS(Szamlaszamok!E:E,Szamlaszamok!A:A,Szamlaszamok_nonduplicate!A287)</f>
      </c>
    </row>
    <row r="288" spans="1:9">
      <c r="A288" t="s">
        <v>1026</v>
      </c>
      <c r="B288" t="str">
        <f>VLOOKUP($A288,Szamlaszamok!$A287:F1843,2,FALSE)</f>
      </c>
      <c r="C288" t="str">
        <f>VLOOKUP($A288,Szamlaszamok!$A287:F1843,3,FALSE)</f>
      </c>
      <c r="D288" t="str">
        <f>VLOOKUP($A288,Szamlaszamok!$A287:F1843,4,FALSE)</f>
      </c>
      <c r="E288" t="str">
        <f>DATE(YEAR(D288),MONTH(D288),DAY(D288))</f>
      </c>
      <c r="F288" t="str">
        <f>CONCATENATE(C288,E288)</f>
      </c>
      <c r="G288" t="str">
        <f>TIMEVALUE(D288)</f>
      </c>
      <c r="H288" t="str">
        <f>COUNTIF(Szamlaszamok!A:A,A288)</f>
      </c>
      <c r="I288" t="str">
        <f>SUMIFS(Szamlaszamok!E:E,Szamlaszamok!A:A,Szamlaszamok_nonduplicate!A288)</f>
      </c>
    </row>
    <row r="289" spans="1:9">
      <c r="A289" t="s">
        <v>1029</v>
      </c>
      <c r="B289" t="str">
        <f>VLOOKUP($A289,Szamlaszamok!$A288:F1844,2,FALSE)</f>
      </c>
      <c r="C289" t="str">
        <f>VLOOKUP($A289,Szamlaszamok!$A288:F1844,3,FALSE)</f>
      </c>
      <c r="D289" t="str">
        <f>VLOOKUP($A289,Szamlaszamok!$A288:F1844,4,FALSE)</f>
      </c>
      <c r="E289" t="str">
        <f>DATE(YEAR(D289),MONTH(D289),DAY(D289))</f>
      </c>
      <c r="F289" t="str">
        <f>CONCATENATE(C289,E289)</f>
      </c>
      <c r="G289" t="str">
        <f>TIMEVALUE(D289)</f>
      </c>
      <c r="H289" t="str">
        <f>COUNTIF(Szamlaszamok!A:A,A289)</f>
      </c>
      <c r="I289" t="str">
        <f>SUMIFS(Szamlaszamok!E:E,Szamlaszamok!A:A,Szamlaszamok_nonduplicate!A289)</f>
      </c>
    </row>
    <row r="290" spans="1:9">
      <c r="A290" t="s">
        <v>1032</v>
      </c>
      <c r="B290" t="str">
        <f>VLOOKUP($A290,Szamlaszamok!$A289:F1845,2,FALSE)</f>
      </c>
      <c r="C290" t="str">
        <f>VLOOKUP($A290,Szamlaszamok!$A289:F1845,3,FALSE)</f>
      </c>
      <c r="D290" t="str">
        <f>VLOOKUP($A290,Szamlaszamok!$A289:F1845,4,FALSE)</f>
      </c>
      <c r="E290" t="str">
        <f>DATE(YEAR(D290),MONTH(D290),DAY(D290))</f>
      </c>
      <c r="F290" t="str">
        <f>CONCATENATE(C290,E290)</f>
      </c>
      <c r="G290" t="str">
        <f>TIMEVALUE(D290)</f>
      </c>
      <c r="H290" t="str">
        <f>COUNTIF(Szamlaszamok!A:A,A290)</f>
      </c>
      <c r="I290" t="str">
        <f>SUMIFS(Szamlaszamok!E:E,Szamlaszamok!A:A,Szamlaszamok_nonduplicate!A290)</f>
      </c>
    </row>
    <row r="291" spans="1:9">
      <c r="A291" t="s">
        <v>1036</v>
      </c>
      <c r="B291" t="str">
        <f>VLOOKUP($A291,Szamlaszamok!$A290:F1846,2,FALSE)</f>
      </c>
      <c r="C291" t="str">
        <f>VLOOKUP($A291,Szamlaszamok!$A290:F1846,3,FALSE)</f>
      </c>
      <c r="D291" t="str">
        <f>VLOOKUP($A291,Szamlaszamok!$A290:F1846,4,FALSE)</f>
      </c>
      <c r="E291" t="str">
        <f>DATE(YEAR(D291),MONTH(D291),DAY(D291))</f>
      </c>
      <c r="F291" t="str">
        <f>CONCATENATE(C291,E291)</f>
      </c>
      <c r="G291" t="str">
        <f>TIMEVALUE(D291)</f>
      </c>
      <c r="H291" t="str">
        <f>COUNTIF(Szamlaszamok!A:A,A291)</f>
      </c>
      <c r="I291" t="str">
        <f>SUMIFS(Szamlaszamok!E:E,Szamlaszamok!A:A,Szamlaszamok_nonduplicate!A291)</f>
      </c>
    </row>
    <row r="292" spans="1:9">
      <c r="A292" t="s">
        <v>1039</v>
      </c>
      <c r="B292" t="str">
        <f>VLOOKUP($A292,Szamlaszamok!$A291:F1847,2,FALSE)</f>
      </c>
      <c r="C292" t="str">
        <f>VLOOKUP($A292,Szamlaszamok!$A291:F1847,3,FALSE)</f>
      </c>
      <c r="D292" t="str">
        <f>VLOOKUP($A292,Szamlaszamok!$A291:F1847,4,FALSE)</f>
      </c>
      <c r="E292" t="str">
        <f>DATE(YEAR(D292),MONTH(D292),DAY(D292))</f>
      </c>
      <c r="F292" t="str">
        <f>CONCATENATE(C292,E292)</f>
      </c>
      <c r="G292" t="str">
        <f>TIMEVALUE(D292)</f>
      </c>
      <c r="H292" t="str">
        <f>COUNTIF(Szamlaszamok!A:A,A292)</f>
      </c>
      <c r="I292" t="str">
        <f>SUMIFS(Szamlaszamok!E:E,Szamlaszamok!A:A,Szamlaszamok_nonduplicate!A292)</f>
      </c>
    </row>
    <row r="293" spans="1:9">
      <c r="A293" t="s">
        <v>1042</v>
      </c>
      <c r="B293" t="str">
        <f>VLOOKUP($A293,Szamlaszamok!$A292:F1848,2,FALSE)</f>
      </c>
      <c r="C293" t="str">
        <f>VLOOKUP($A293,Szamlaszamok!$A292:F1848,3,FALSE)</f>
      </c>
      <c r="D293" t="str">
        <f>VLOOKUP($A293,Szamlaszamok!$A292:F1848,4,FALSE)</f>
      </c>
      <c r="E293" t="str">
        <f>DATE(YEAR(D293),MONTH(D293),DAY(D293))</f>
      </c>
      <c r="F293" t="str">
        <f>CONCATENATE(C293,E293)</f>
      </c>
      <c r="G293" t="str">
        <f>TIMEVALUE(D293)</f>
      </c>
      <c r="H293" t="str">
        <f>COUNTIF(Szamlaszamok!A:A,A293)</f>
      </c>
      <c r="I293" t="str">
        <f>SUMIFS(Szamlaszamok!E:E,Szamlaszamok!A:A,Szamlaszamok_nonduplicate!A293)</f>
      </c>
    </row>
    <row r="294" spans="1:9">
      <c r="A294" t="s">
        <v>1046</v>
      </c>
      <c r="B294" t="str">
        <f>VLOOKUP($A294,Szamlaszamok!$A293:F1849,2,FALSE)</f>
      </c>
      <c r="C294" t="str">
        <f>VLOOKUP($A294,Szamlaszamok!$A293:F1849,3,FALSE)</f>
      </c>
      <c r="D294" t="str">
        <f>VLOOKUP($A294,Szamlaszamok!$A293:F1849,4,FALSE)</f>
      </c>
      <c r="E294" t="str">
        <f>DATE(YEAR(D294),MONTH(D294),DAY(D294))</f>
      </c>
      <c r="F294" t="str">
        <f>CONCATENATE(C294,E294)</f>
      </c>
      <c r="G294" t="str">
        <f>TIMEVALUE(D294)</f>
      </c>
      <c r="H294" t="str">
        <f>COUNTIF(Szamlaszamok!A:A,A294)</f>
      </c>
      <c r="I294" t="str">
        <f>SUMIFS(Szamlaszamok!E:E,Szamlaszamok!A:A,Szamlaszamok_nonduplicate!A294)</f>
      </c>
    </row>
    <row r="295" spans="1:9">
      <c r="A295" t="s">
        <v>1050</v>
      </c>
      <c r="B295" t="str">
        <f>VLOOKUP($A295,Szamlaszamok!$A294:F1850,2,FALSE)</f>
      </c>
      <c r="C295" t="str">
        <f>VLOOKUP($A295,Szamlaszamok!$A294:F1850,3,FALSE)</f>
      </c>
      <c r="D295" t="str">
        <f>VLOOKUP($A295,Szamlaszamok!$A294:F1850,4,FALSE)</f>
      </c>
      <c r="E295" t="str">
        <f>DATE(YEAR(D295),MONTH(D295),DAY(D295))</f>
      </c>
      <c r="F295" t="str">
        <f>CONCATENATE(C295,E295)</f>
      </c>
      <c r="G295" t="str">
        <f>TIMEVALUE(D295)</f>
      </c>
      <c r="H295" t="str">
        <f>COUNTIF(Szamlaszamok!A:A,A295)</f>
      </c>
      <c r="I295" t="str">
        <f>SUMIFS(Szamlaszamok!E:E,Szamlaszamok!A:A,Szamlaszamok_nonduplicate!A295)</f>
      </c>
    </row>
    <row r="296" spans="1:9">
      <c r="A296" t="s">
        <v>1053</v>
      </c>
      <c r="B296" t="str">
        <f>VLOOKUP($A296,Szamlaszamok!$A295:F1851,2,FALSE)</f>
      </c>
      <c r="C296" t="str">
        <f>VLOOKUP($A296,Szamlaszamok!$A295:F1851,3,FALSE)</f>
      </c>
      <c r="D296" t="str">
        <f>VLOOKUP($A296,Szamlaszamok!$A295:F1851,4,FALSE)</f>
      </c>
      <c r="E296" t="str">
        <f>DATE(YEAR(D296),MONTH(D296),DAY(D296))</f>
      </c>
      <c r="F296" t="str">
        <f>CONCATENATE(C296,E296)</f>
      </c>
      <c r="G296" t="str">
        <f>TIMEVALUE(D296)</f>
      </c>
      <c r="H296" t="str">
        <f>COUNTIF(Szamlaszamok!A:A,A296)</f>
      </c>
      <c r="I296" t="str">
        <f>SUMIFS(Szamlaszamok!E:E,Szamlaszamok!A:A,Szamlaszamok_nonduplicate!A296)</f>
      </c>
    </row>
    <row r="297" spans="1:9">
      <c r="A297" t="s">
        <v>1056</v>
      </c>
      <c r="B297" t="str">
        <f>VLOOKUP($A297,Szamlaszamok!$A296:F1852,2,FALSE)</f>
      </c>
      <c r="C297" t="str">
        <f>VLOOKUP($A297,Szamlaszamok!$A296:F1852,3,FALSE)</f>
      </c>
      <c r="D297" t="str">
        <f>VLOOKUP($A297,Szamlaszamok!$A296:F1852,4,FALSE)</f>
      </c>
      <c r="E297" t="str">
        <f>DATE(YEAR(D297),MONTH(D297),DAY(D297))</f>
      </c>
      <c r="F297" t="str">
        <f>CONCATENATE(C297,E297)</f>
      </c>
      <c r="G297" t="str">
        <f>TIMEVALUE(D297)</f>
      </c>
      <c r="H297" t="str">
        <f>COUNTIF(Szamlaszamok!A:A,A297)</f>
      </c>
      <c r="I297" t="str">
        <f>SUMIFS(Szamlaszamok!E:E,Szamlaszamok!A:A,Szamlaszamok_nonduplicate!A297)</f>
      </c>
    </row>
    <row r="298" spans="1:9">
      <c r="A298" t="s">
        <v>1060</v>
      </c>
      <c r="B298" t="str">
        <f>VLOOKUP($A298,Szamlaszamok!$A297:F1853,2,FALSE)</f>
      </c>
      <c r="C298" t="str">
        <f>VLOOKUP($A298,Szamlaszamok!$A297:F1853,3,FALSE)</f>
      </c>
      <c r="D298" t="str">
        <f>VLOOKUP($A298,Szamlaszamok!$A297:F1853,4,FALSE)</f>
      </c>
      <c r="E298" t="str">
        <f>DATE(YEAR(D298),MONTH(D298),DAY(D298))</f>
      </c>
      <c r="F298" t="str">
        <f>CONCATENATE(C298,E298)</f>
      </c>
      <c r="G298" t="str">
        <f>TIMEVALUE(D298)</f>
      </c>
      <c r="H298" t="str">
        <f>COUNTIF(Szamlaszamok!A:A,A298)</f>
      </c>
      <c r="I298" t="str">
        <f>SUMIFS(Szamlaszamok!E:E,Szamlaszamok!A:A,Szamlaszamok_nonduplicate!A298)</f>
      </c>
    </row>
    <row r="299" spans="1:9">
      <c r="A299" t="s">
        <v>1063</v>
      </c>
      <c r="B299" t="str">
        <f>VLOOKUP($A299,Szamlaszamok!$A298:F1854,2,FALSE)</f>
      </c>
      <c r="C299" t="str">
        <f>VLOOKUP($A299,Szamlaszamok!$A298:F1854,3,FALSE)</f>
      </c>
      <c r="D299" t="str">
        <f>VLOOKUP($A299,Szamlaszamok!$A298:F1854,4,FALSE)</f>
      </c>
      <c r="E299" t="str">
        <f>DATE(YEAR(D299),MONTH(D299),DAY(D299))</f>
      </c>
      <c r="F299" t="str">
        <f>CONCATENATE(C299,E299)</f>
      </c>
      <c r="G299" t="str">
        <f>TIMEVALUE(D299)</f>
      </c>
      <c r="H299" t="str">
        <f>COUNTIF(Szamlaszamok!A:A,A299)</f>
      </c>
      <c r="I299" t="str">
        <f>SUMIFS(Szamlaszamok!E:E,Szamlaszamok!A:A,Szamlaszamok_nonduplicate!A299)</f>
      </c>
    </row>
    <row r="300" spans="1:9">
      <c r="A300" t="s">
        <v>1066</v>
      </c>
      <c r="B300" t="str">
        <f>VLOOKUP($A300,Szamlaszamok!$A299:F1855,2,FALSE)</f>
      </c>
      <c r="C300" t="str">
        <f>VLOOKUP($A300,Szamlaszamok!$A299:F1855,3,FALSE)</f>
      </c>
      <c r="D300" t="str">
        <f>VLOOKUP($A300,Szamlaszamok!$A299:F1855,4,FALSE)</f>
      </c>
      <c r="E300" t="str">
        <f>DATE(YEAR(D300),MONTH(D300),DAY(D300))</f>
      </c>
      <c r="F300" t="str">
        <f>CONCATENATE(C300,E300)</f>
      </c>
      <c r="G300" t="str">
        <f>TIMEVALUE(D300)</f>
      </c>
      <c r="H300" t="str">
        <f>COUNTIF(Szamlaszamok!A:A,A300)</f>
      </c>
      <c r="I300" t="str">
        <f>SUMIFS(Szamlaszamok!E:E,Szamlaszamok!A:A,Szamlaszamok_nonduplicate!A300)</f>
      </c>
    </row>
    <row r="301" spans="1:9">
      <c r="A301" t="s">
        <v>1070</v>
      </c>
      <c r="B301" t="str">
        <f>VLOOKUP($A301,Szamlaszamok!$A300:F1856,2,FALSE)</f>
      </c>
      <c r="C301" t="str">
        <f>VLOOKUP($A301,Szamlaszamok!$A300:F1856,3,FALSE)</f>
      </c>
      <c r="D301" t="str">
        <f>VLOOKUP($A301,Szamlaszamok!$A300:F1856,4,FALSE)</f>
      </c>
      <c r="E301" t="str">
        <f>DATE(YEAR(D301),MONTH(D301),DAY(D301))</f>
      </c>
      <c r="F301" t="str">
        <f>CONCATENATE(C301,E301)</f>
      </c>
      <c r="G301" t="str">
        <f>TIMEVALUE(D301)</f>
      </c>
      <c r="H301" t="str">
        <f>COUNTIF(Szamlaszamok!A:A,A301)</f>
      </c>
      <c r="I301" t="str">
        <f>SUMIFS(Szamlaszamok!E:E,Szamlaszamok!A:A,Szamlaszamok_nonduplicate!A301)</f>
      </c>
    </row>
    <row r="302" spans="1:9">
      <c r="A302" t="s">
        <v>1074</v>
      </c>
      <c r="B302" t="str">
        <f>VLOOKUP($A302,Szamlaszamok!$A301:F1857,2,FALSE)</f>
      </c>
      <c r="C302" t="str">
        <f>VLOOKUP($A302,Szamlaszamok!$A301:F1857,3,FALSE)</f>
      </c>
      <c r="D302" t="str">
        <f>VLOOKUP($A302,Szamlaszamok!$A301:F1857,4,FALSE)</f>
      </c>
      <c r="E302" t="str">
        <f>DATE(YEAR(D302),MONTH(D302),DAY(D302))</f>
      </c>
      <c r="F302" t="str">
        <f>CONCATENATE(C302,E302)</f>
      </c>
      <c r="G302" t="str">
        <f>TIMEVALUE(D302)</f>
      </c>
      <c r="H302" t="str">
        <f>COUNTIF(Szamlaszamok!A:A,A302)</f>
      </c>
      <c r="I302" t="str">
        <f>SUMIFS(Szamlaszamok!E:E,Szamlaszamok!A:A,Szamlaszamok_nonduplicate!A302)</f>
      </c>
    </row>
    <row r="303" spans="1:9">
      <c r="A303" t="s">
        <v>1078</v>
      </c>
      <c r="B303" t="str">
        <f>VLOOKUP($A303,Szamlaszamok!$A302:F1858,2,FALSE)</f>
      </c>
      <c r="C303" t="str">
        <f>VLOOKUP($A303,Szamlaszamok!$A302:F1858,3,FALSE)</f>
      </c>
      <c r="D303" t="str">
        <f>VLOOKUP($A303,Szamlaszamok!$A302:F1858,4,FALSE)</f>
      </c>
      <c r="E303" t="str">
        <f>DATE(YEAR(D303),MONTH(D303),DAY(D303))</f>
      </c>
      <c r="F303" t="str">
        <f>CONCATENATE(C303,E303)</f>
      </c>
      <c r="G303" t="str">
        <f>TIMEVALUE(D303)</f>
      </c>
      <c r="H303" t="str">
        <f>COUNTIF(Szamlaszamok!A:A,A303)</f>
      </c>
      <c r="I303" t="str">
        <f>SUMIFS(Szamlaszamok!E:E,Szamlaszamok!A:A,Szamlaszamok_nonduplicate!A303)</f>
      </c>
    </row>
    <row r="304" spans="1:9">
      <c r="A304" t="s">
        <v>1082</v>
      </c>
      <c r="B304" t="str">
        <f>VLOOKUP($A304,Szamlaszamok!$A303:F1859,2,FALSE)</f>
      </c>
      <c r="C304" t="str">
        <f>VLOOKUP($A304,Szamlaszamok!$A303:F1859,3,FALSE)</f>
      </c>
      <c r="D304" t="str">
        <f>VLOOKUP($A304,Szamlaszamok!$A303:F1859,4,FALSE)</f>
      </c>
      <c r="E304" t="str">
        <f>DATE(YEAR(D304),MONTH(D304),DAY(D304))</f>
      </c>
      <c r="F304" t="str">
        <f>CONCATENATE(C304,E304)</f>
      </c>
      <c r="G304" t="str">
        <f>TIMEVALUE(D304)</f>
      </c>
      <c r="H304" t="str">
        <f>COUNTIF(Szamlaszamok!A:A,A304)</f>
      </c>
      <c r="I304" t="str">
        <f>SUMIFS(Szamlaszamok!E:E,Szamlaszamok!A:A,Szamlaszamok_nonduplicate!A304)</f>
      </c>
    </row>
    <row r="305" spans="1:9">
      <c r="A305" t="s">
        <v>1085</v>
      </c>
      <c r="B305" t="str">
        <f>VLOOKUP($A305,Szamlaszamok!$A304:F1860,2,FALSE)</f>
      </c>
      <c r="C305" t="str">
        <f>VLOOKUP($A305,Szamlaszamok!$A304:F1860,3,FALSE)</f>
      </c>
      <c r="D305" t="str">
        <f>VLOOKUP($A305,Szamlaszamok!$A304:F1860,4,FALSE)</f>
      </c>
      <c r="E305" t="str">
        <f>DATE(YEAR(D305),MONTH(D305),DAY(D305))</f>
      </c>
      <c r="F305" t="str">
        <f>CONCATENATE(C305,E305)</f>
      </c>
      <c r="G305" t="str">
        <f>TIMEVALUE(D305)</f>
      </c>
      <c r="H305" t="str">
        <f>COUNTIF(Szamlaszamok!A:A,A305)</f>
      </c>
      <c r="I305" t="str">
        <f>SUMIFS(Szamlaszamok!E:E,Szamlaszamok!A:A,Szamlaszamok_nonduplicate!A305)</f>
      </c>
    </row>
    <row r="306" spans="1:9">
      <c r="A306" t="s">
        <v>1088</v>
      </c>
      <c r="B306" t="str">
        <f>VLOOKUP($A306,Szamlaszamok!$A305:F1861,2,FALSE)</f>
      </c>
      <c r="C306" t="str">
        <f>VLOOKUP($A306,Szamlaszamok!$A305:F1861,3,FALSE)</f>
      </c>
      <c r="D306" t="str">
        <f>VLOOKUP($A306,Szamlaszamok!$A305:F1861,4,FALSE)</f>
      </c>
      <c r="E306" t="str">
        <f>DATE(YEAR(D306),MONTH(D306),DAY(D306))</f>
      </c>
      <c r="F306" t="str">
        <f>CONCATENATE(C306,E306)</f>
      </c>
      <c r="G306" t="str">
        <f>TIMEVALUE(D306)</f>
      </c>
      <c r="H306" t="str">
        <f>COUNTIF(Szamlaszamok!A:A,A306)</f>
      </c>
      <c r="I306" t="str">
        <f>SUMIFS(Szamlaszamok!E:E,Szamlaszamok!A:A,Szamlaszamok_nonduplicate!A306)</f>
      </c>
    </row>
    <row r="307" spans="1:9">
      <c r="A307" t="s">
        <v>1091</v>
      </c>
      <c r="B307" t="str">
        <f>VLOOKUP($A307,Szamlaszamok!$A306:F1862,2,FALSE)</f>
      </c>
      <c r="C307" t="str">
        <f>VLOOKUP($A307,Szamlaszamok!$A306:F1862,3,FALSE)</f>
      </c>
      <c r="D307" t="str">
        <f>VLOOKUP($A307,Szamlaszamok!$A306:F1862,4,FALSE)</f>
      </c>
      <c r="E307" t="str">
        <f>DATE(YEAR(D307),MONTH(D307),DAY(D307))</f>
      </c>
      <c r="F307" t="str">
        <f>CONCATENATE(C307,E307)</f>
      </c>
      <c r="G307" t="str">
        <f>TIMEVALUE(D307)</f>
      </c>
      <c r="H307" t="str">
        <f>COUNTIF(Szamlaszamok!A:A,A307)</f>
      </c>
      <c r="I307" t="str">
        <f>SUMIFS(Szamlaszamok!E:E,Szamlaszamok!A:A,Szamlaszamok_nonduplicate!A307)</f>
      </c>
    </row>
    <row r="308" spans="1:9">
      <c r="A308" t="s">
        <v>1093</v>
      </c>
      <c r="B308" t="str">
        <f>VLOOKUP($A308,Szamlaszamok!$A307:F1863,2,FALSE)</f>
      </c>
      <c r="C308" t="str">
        <f>VLOOKUP($A308,Szamlaszamok!$A307:F1863,3,FALSE)</f>
      </c>
      <c r="D308" t="str">
        <f>VLOOKUP($A308,Szamlaszamok!$A307:F1863,4,FALSE)</f>
      </c>
      <c r="E308" t="str">
        <f>DATE(YEAR(D308),MONTH(D308),DAY(D308))</f>
      </c>
      <c r="F308" t="str">
        <f>CONCATENATE(C308,E308)</f>
      </c>
      <c r="G308" t="str">
        <f>TIMEVALUE(D308)</f>
      </c>
      <c r="H308" t="str">
        <f>COUNTIF(Szamlaszamok!A:A,A308)</f>
      </c>
      <c r="I308" t="str">
        <f>SUMIFS(Szamlaszamok!E:E,Szamlaszamok!A:A,Szamlaszamok_nonduplicate!A308)</f>
      </c>
    </row>
    <row r="309" spans="1:9">
      <c r="A309" t="s">
        <v>1096</v>
      </c>
      <c r="B309" t="str">
        <f>VLOOKUP($A309,Szamlaszamok!$A308:F1864,2,FALSE)</f>
      </c>
      <c r="C309" t="str">
        <f>VLOOKUP($A309,Szamlaszamok!$A308:F1864,3,FALSE)</f>
      </c>
      <c r="D309" t="str">
        <f>VLOOKUP($A309,Szamlaszamok!$A308:F1864,4,FALSE)</f>
      </c>
      <c r="E309" t="str">
        <f>DATE(YEAR(D309),MONTH(D309),DAY(D309))</f>
      </c>
      <c r="F309" t="str">
        <f>CONCATENATE(C309,E309)</f>
      </c>
      <c r="G309" t="str">
        <f>TIMEVALUE(D309)</f>
      </c>
      <c r="H309" t="str">
        <f>COUNTIF(Szamlaszamok!A:A,A309)</f>
      </c>
      <c r="I309" t="str">
        <f>SUMIFS(Szamlaszamok!E:E,Szamlaszamok!A:A,Szamlaszamok_nonduplicate!A309)</f>
      </c>
    </row>
    <row r="310" spans="1:9">
      <c r="A310" t="s">
        <v>1100</v>
      </c>
      <c r="B310" t="str">
        <f>VLOOKUP($A310,Szamlaszamok!$A309:F1865,2,FALSE)</f>
      </c>
      <c r="C310" t="str">
        <f>VLOOKUP($A310,Szamlaszamok!$A309:F1865,3,FALSE)</f>
      </c>
      <c r="D310" t="str">
        <f>VLOOKUP($A310,Szamlaszamok!$A309:F1865,4,FALSE)</f>
      </c>
      <c r="E310" t="str">
        <f>DATE(YEAR(D310),MONTH(D310),DAY(D310))</f>
      </c>
      <c r="F310" t="str">
        <f>CONCATENATE(C310,E310)</f>
      </c>
      <c r="G310" t="str">
        <f>TIMEVALUE(D310)</f>
      </c>
      <c r="H310" t="str">
        <f>COUNTIF(Szamlaszamok!A:A,A310)</f>
      </c>
      <c r="I310" t="str">
        <f>SUMIFS(Szamlaszamok!E:E,Szamlaszamok!A:A,Szamlaszamok_nonduplicate!A310)</f>
      </c>
    </row>
    <row r="311" spans="1:9">
      <c r="A311" t="s">
        <v>1104</v>
      </c>
      <c r="B311" t="str">
        <f>VLOOKUP($A311,Szamlaszamok!$A310:F1866,2,FALSE)</f>
      </c>
      <c r="C311" t="str">
        <f>VLOOKUP($A311,Szamlaszamok!$A310:F1866,3,FALSE)</f>
      </c>
      <c r="D311" t="str">
        <f>VLOOKUP($A311,Szamlaszamok!$A310:F1866,4,FALSE)</f>
      </c>
      <c r="E311" t="str">
        <f>DATE(YEAR(D311),MONTH(D311),DAY(D311))</f>
      </c>
      <c r="F311" t="str">
        <f>CONCATENATE(C311,E311)</f>
      </c>
      <c r="G311" t="str">
        <f>TIMEVALUE(D311)</f>
      </c>
      <c r="H311" t="str">
        <f>COUNTIF(Szamlaszamok!A:A,A311)</f>
      </c>
      <c r="I311" t="str">
        <f>SUMIFS(Szamlaszamok!E:E,Szamlaszamok!A:A,Szamlaszamok_nonduplicate!A311)</f>
      </c>
    </row>
    <row r="312" spans="1:9">
      <c r="A312" t="s">
        <v>1108</v>
      </c>
      <c r="B312" t="str">
        <f>VLOOKUP($A312,Szamlaszamok!$A311:F1867,2,FALSE)</f>
      </c>
      <c r="C312" t="str">
        <f>VLOOKUP($A312,Szamlaszamok!$A311:F1867,3,FALSE)</f>
      </c>
      <c r="D312" t="str">
        <f>VLOOKUP($A312,Szamlaszamok!$A311:F1867,4,FALSE)</f>
      </c>
      <c r="E312" t="str">
        <f>DATE(YEAR(D312),MONTH(D312),DAY(D312))</f>
      </c>
      <c r="F312" t="str">
        <f>CONCATENATE(C312,E312)</f>
      </c>
      <c r="G312" t="str">
        <f>TIMEVALUE(D312)</f>
      </c>
      <c r="H312" t="str">
        <f>COUNTIF(Szamlaszamok!A:A,A312)</f>
      </c>
      <c r="I312" t="str">
        <f>SUMIFS(Szamlaszamok!E:E,Szamlaszamok!A:A,Szamlaszamok_nonduplicate!A312)</f>
      </c>
    </row>
    <row r="313" spans="1:9">
      <c r="A313" t="s">
        <v>1112</v>
      </c>
      <c r="B313" t="str">
        <f>VLOOKUP($A313,Szamlaszamok!$A312:F1868,2,FALSE)</f>
      </c>
      <c r="C313" t="str">
        <f>VLOOKUP($A313,Szamlaszamok!$A312:F1868,3,FALSE)</f>
      </c>
      <c r="D313" t="str">
        <f>VLOOKUP($A313,Szamlaszamok!$A312:F1868,4,FALSE)</f>
      </c>
      <c r="E313" t="str">
        <f>DATE(YEAR(D313),MONTH(D313),DAY(D313))</f>
      </c>
      <c r="F313" t="str">
        <f>CONCATENATE(C313,E313)</f>
      </c>
      <c r="G313" t="str">
        <f>TIMEVALUE(D313)</f>
      </c>
      <c r="H313" t="str">
        <f>COUNTIF(Szamlaszamok!A:A,A313)</f>
      </c>
      <c r="I313" t="str">
        <f>SUMIFS(Szamlaszamok!E:E,Szamlaszamok!A:A,Szamlaszamok_nonduplicate!A313)</f>
      </c>
    </row>
    <row r="314" spans="1:9">
      <c r="A314" t="s">
        <v>1116</v>
      </c>
      <c r="B314" t="str">
        <f>VLOOKUP($A314,Szamlaszamok!$A313:F1869,2,FALSE)</f>
      </c>
      <c r="C314" t="str">
        <f>VLOOKUP($A314,Szamlaszamok!$A313:F1869,3,FALSE)</f>
      </c>
      <c r="D314" t="str">
        <f>VLOOKUP($A314,Szamlaszamok!$A313:F1869,4,FALSE)</f>
      </c>
      <c r="E314" t="str">
        <f>DATE(YEAR(D314),MONTH(D314),DAY(D314))</f>
      </c>
      <c r="F314" t="str">
        <f>CONCATENATE(C314,E314)</f>
      </c>
      <c r="G314" t="str">
        <f>TIMEVALUE(D314)</f>
      </c>
      <c r="H314" t="str">
        <f>COUNTIF(Szamlaszamok!A:A,A314)</f>
      </c>
      <c r="I314" t="str">
        <f>SUMIFS(Szamlaszamok!E:E,Szamlaszamok!A:A,Szamlaszamok_nonduplicate!A314)</f>
      </c>
    </row>
    <row r="315" spans="1:9">
      <c r="A315" t="s">
        <v>1120</v>
      </c>
      <c r="B315" t="str">
        <f>VLOOKUP($A315,Szamlaszamok!$A314:F1870,2,FALSE)</f>
      </c>
      <c r="C315" t="str">
        <f>VLOOKUP($A315,Szamlaszamok!$A314:F1870,3,FALSE)</f>
      </c>
      <c r="D315" t="str">
        <f>VLOOKUP($A315,Szamlaszamok!$A314:F1870,4,FALSE)</f>
      </c>
      <c r="E315" t="str">
        <f>DATE(YEAR(D315),MONTH(D315),DAY(D315))</f>
      </c>
      <c r="F315" t="str">
        <f>CONCATENATE(C315,E315)</f>
      </c>
      <c r="G315" t="str">
        <f>TIMEVALUE(D315)</f>
      </c>
      <c r="H315" t="str">
        <f>COUNTIF(Szamlaszamok!A:A,A315)</f>
      </c>
      <c r="I315" t="str">
        <f>SUMIFS(Szamlaszamok!E:E,Szamlaszamok!A:A,Szamlaszamok_nonduplicate!A315)</f>
      </c>
    </row>
    <row r="316" spans="1:9">
      <c r="A316" t="s">
        <v>1123</v>
      </c>
      <c r="B316" t="str">
        <f>VLOOKUP($A316,Szamlaszamok!$A315:F1871,2,FALSE)</f>
      </c>
      <c r="C316" t="str">
        <f>VLOOKUP($A316,Szamlaszamok!$A315:F1871,3,FALSE)</f>
      </c>
      <c r="D316" t="str">
        <f>VLOOKUP($A316,Szamlaszamok!$A315:F1871,4,FALSE)</f>
      </c>
      <c r="E316" t="str">
        <f>DATE(YEAR(D316),MONTH(D316),DAY(D316))</f>
      </c>
      <c r="F316" t="str">
        <f>CONCATENATE(C316,E316)</f>
      </c>
      <c r="G316" t="str">
        <f>TIMEVALUE(D316)</f>
      </c>
      <c r="H316" t="str">
        <f>COUNTIF(Szamlaszamok!A:A,A316)</f>
      </c>
      <c r="I316" t="str">
        <f>SUMIFS(Szamlaszamok!E:E,Szamlaszamok!A:A,Szamlaszamok_nonduplicate!A316)</f>
      </c>
    </row>
    <row r="317" spans="1:9">
      <c r="A317" t="s">
        <v>1126</v>
      </c>
      <c r="B317" t="str">
        <f>VLOOKUP($A317,Szamlaszamok!$A316:F1872,2,FALSE)</f>
      </c>
      <c r="C317" t="str">
        <f>VLOOKUP($A317,Szamlaszamok!$A316:F1872,3,FALSE)</f>
      </c>
      <c r="D317" t="str">
        <f>VLOOKUP($A317,Szamlaszamok!$A316:F1872,4,FALSE)</f>
      </c>
      <c r="E317" t="str">
        <f>DATE(YEAR(D317),MONTH(D317),DAY(D317))</f>
      </c>
      <c r="F317" t="str">
        <f>CONCATENATE(C317,E317)</f>
      </c>
      <c r="G317" t="str">
        <f>TIMEVALUE(D317)</f>
      </c>
      <c r="H317" t="str">
        <f>COUNTIF(Szamlaszamok!A:A,A317)</f>
      </c>
      <c r="I317" t="str">
        <f>SUMIFS(Szamlaszamok!E:E,Szamlaszamok!A:A,Szamlaszamok_nonduplicate!A317)</f>
      </c>
    </row>
    <row r="318" spans="1:9">
      <c r="A318" t="s">
        <v>1130</v>
      </c>
      <c r="B318" t="str">
        <f>VLOOKUP($A318,Szamlaszamok!$A317:F1873,2,FALSE)</f>
      </c>
      <c r="C318" t="str">
        <f>VLOOKUP($A318,Szamlaszamok!$A317:F1873,3,FALSE)</f>
      </c>
      <c r="D318" t="str">
        <f>VLOOKUP($A318,Szamlaszamok!$A317:F1873,4,FALSE)</f>
      </c>
      <c r="E318" t="str">
        <f>DATE(YEAR(D318),MONTH(D318),DAY(D318))</f>
      </c>
      <c r="F318" t="str">
        <f>CONCATENATE(C318,E318)</f>
      </c>
      <c r="G318" t="str">
        <f>TIMEVALUE(D318)</f>
      </c>
      <c r="H318" t="str">
        <f>COUNTIF(Szamlaszamok!A:A,A318)</f>
      </c>
      <c r="I318" t="str">
        <f>SUMIFS(Szamlaszamok!E:E,Szamlaszamok!A:A,Szamlaszamok_nonduplicate!A318)</f>
      </c>
    </row>
    <row r="319" spans="1:9">
      <c r="A319" t="s">
        <v>1133</v>
      </c>
      <c r="B319" t="str">
        <f>VLOOKUP($A319,Szamlaszamok!$A318:F1874,2,FALSE)</f>
      </c>
      <c r="C319" t="str">
        <f>VLOOKUP($A319,Szamlaszamok!$A318:F1874,3,FALSE)</f>
      </c>
      <c r="D319" t="str">
        <f>VLOOKUP($A319,Szamlaszamok!$A318:F1874,4,FALSE)</f>
      </c>
      <c r="E319" t="str">
        <f>DATE(YEAR(D319),MONTH(D319),DAY(D319))</f>
      </c>
      <c r="F319" t="str">
        <f>CONCATENATE(C319,E319)</f>
      </c>
      <c r="G319" t="str">
        <f>TIMEVALUE(D319)</f>
      </c>
      <c r="H319" t="str">
        <f>COUNTIF(Szamlaszamok!A:A,A319)</f>
      </c>
      <c r="I319" t="str">
        <f>SUMIFS(Szamlaszamok!E:E,Szamlaszamok!A:A,Szamlaszamok_nonduplicate!A319)</f>
      </c>
    </row>
    <row r="320" spans="1:9">
      <c r="A320" t="s">
        <v>1136</v>
      </c>
      <c r="B320" t="str">
        <f>VLOOKUP($A320,Szamlaszamok!$A319:F1875,2,FALSE)</f>
      </c>
      <c r="C320" t="str">
        <f>VLOOKUP($A320,Szamlaszamok!$A319:F1875,3,FALSE)</f>
      </c>
      <c r="D320" t="str">
        <f>VLOOKUP($A320,Szamlaszamok!$A319:F1875,4,FALSE)</f>
      </c>
      <c r="E320" t="str">
        <f>DATE(YEAR(D320),MONTH(D320),DAY(D320))</f>
      </c>
      <c r="F320" t="str">
        <f>CONCATENATE(C320,E320)</f>
      </c>
      <c r="G320" t="str">
        <f>TIMEVALUE(D320)</f>
      </c>
      <c r="H320" t="str">
        <f>COUNTIF(Szamlaszamok!A:A,A320)</f>
      </c>
      <c r="I320" t="str">
        <f>SUMIFS(Szamlaszamok!E:E,Szamlaszamok!A:A,Szamlaszamok_nonduplicate!A320)</f>
      </c>
    </row>
    <row r="321" spans="1:9">
      <c r="A321" t="s">
        <v>1139</v>
      </c>
      <c r="B321" t="str">
        <f>VLOOKUP($A321,Szamlaszamok!$A320:F1876,2,FALSE)</f>
      </c>
      <c r="C321" t="str">
        <f>VLOOKUP($A321,Szamlaszamok!$A320:F1876,3,FALSE)</f>
      </c>
      <c r="D321" t="str">
        <f>VLOOKUP($A321,Szamlaszamok!$A320:F1876,4,FALSE)</f>
      </c>
      <c r="E321" t="str">
        <f>DATE(YEAR(D321),MONTH(D321),DAY(D321))</f>
      </c>
      <c r="F321" t="str">
        <f>CONCATENATE(C321,E321)</f>
      </c>
      <c r="G321" t="str">
        <f>TIMEVALUE(D321)</f>
      </c>
      <c r="H321" t="str">
        <f>COUNTIF(Szamlaszamok!A:A,A321)</f>
      </c>
      <c r="I321" t="str">
        <f>SUMIFS(Szamlaszamok!E:E,Szamlaszamok!A:A,Szamlaszamok_nonduplicate!A321)</f>
      </c>
    </row>
    <row r="322" spans="1:9">
      <c r="A322" t="s">
        <v>1143</v>
      </c>
      <c r="B322" t="str">
        <f>VLOOKUP($A322,Szamlaszamok!$A321:F1877,2,FALSE)</f>
      </c>
      <c r="C322" t="str">
        <f>VLOOKUP($A322,Szamlaszamok!$A321:F1877,3,FALSE)</f>
      </c>
      <c r="D322" t="str">
        <f>VLOOKUP($A322,Szamlaszamok!$A321:F1877,4,FALSE)</f>
      </c>
      <c r="E322" t="str">
        <f>DATE(YEAR(D322),MONTH(D322),DAY(D322))</f>
      </c>
      <c r="F322" t="str">
        <f>CONCATENATE(C322,E322)</f>
      </c>
      <c r="G322" t="str">
        <f>TIMEVALUE(D322)</f>
      </c>
      <c r="H322" t="str">
        <f>COUNTIF(Szamlaszamok!A:A,A322)</f>
      </c>
      <c r="I322" t="str">
        <f>SUMIFS(Szamlaszamok!E:E,Szamlaszamok!A:A,Szamlaszamok_nonduplicate!A322)</f>
      </c>
    </row>
    <row r="323" spans="1:9">
      <c r="A323" t="s">
        <v>1146</v>
      </c>
      <c r="B323" t="str">
        <f>VLOOKUP($A323,Szamlaszamok!$A322:F1878,2,FALSE)</f>
      </c>
      <c r="C323" t="str">
        <f>VLOOKUP($A323,Szamlaszamok!$A322:F1878,3,FALSE)</f>
      </c>
      <c r="D323" t="str">
        <f>VLOOKUP($A323,Szamlaszamok!$A322:F1878,4,FALSE)</f>
      </c>
      <c r="E323" t="str">
        <f>DATE(YEAR(D323),MONTH(D323),DAY(D323))</f>
      </c>
      <c r="F323" t="str">
        <f>CONCATENATE(C323,E323)</f>
      </c>
      <c r="G323" t="str">
        <f>TIMEVALUE(D323)</f>
      </c>
      <c r="H323" t="str">
        <f>COUNTIF(Szamlaszamok!A:A,A323)</f>
      </c>
      <c r="I323" t="str">
        <f>SUMIFS(Szamlaszamok!E:E,Szamlaszamok!A:A,Szamlaszamok_nonduplicate!A323)</f>
      </c>
    </row>
    <row r="324" spans="1:9">
      <c r="A324" t="s">
        <v>1150</v>
      </c>
      <c r="B324" t="str">
        <f>VLOOKUP($A324,Szamlaszamok!$A323:F1879,2,FALSE)</f>
      </c>
      <c r="C324" t="str">
        <f>VLOOKUP($A324,Szamlaszamok!$A323:F1879,3,FALSE)</f>
      </c>
      <c r="D324" t="str">
        <f>VLOOKUP($A324,Szamlaszamok!$A323:F1879,4,FALSE)</f>
      </c>
      <c r="E324" t="str">
        <f>DATE(YEAR(D324),MONTH(D324),DAY(D324))</f>
      </c>
      <c r="F324" t="str">
        <f>CONCATENATE(C324,E324)</f>
      </c>
      <c r="G324" t="str">
        <f>TIMEVALUE(D324)</f>
      </c>
      <c r="H324" t="str">
        <f>COUNTIF(Szamlaszamok!A:A,A324)</f>
      </c>
      <c r="I324" t="str">
        <f>SUMIFS(Szamlaszamok!E:E,Szamlaszamok!A:A,Szamlaszamok_nonduplicate!A324)</f>
      </c>
    </row>
    <row r="325" spans="1:9">
      <c r="A325" t="s">
        <v>1153</v>
      </c>
      <c r="B325" t="str">
        <f>VLOOKUP($A325,Szamlaszamok!$A324:F1880,2,FALSE)</f>
      </c>
      <c r="C325" t="str">
        <f>VLOOKUP($A325,Szamlaszamok!$A324:F1880,3,FALSE)</f>
      </c>
      <c r="D325" t="str">
        <f>VLOOKUP($A325,Szamlaszamok!$A324:F1880,4,FALSE)</f>
      </c>
      <c r="E325" t="str">
        <f>DATE(YEAR(D325),MONTH(D325),DAY(D325))</f>
      </c>
      <c r="F325" t="str">
        <f>CONCATENATE(C325,E325)</f>
      </c>
      <c r="G325" t="str">
        <f>TIMEVALUE(D325)</f>
      </c>
      <c r="H325" t="str">
        <f>COUNTIF(Szamlaszamok!A:A,A325)</f>
      </c>
      <c r="I325" t="str">
        <f>SUMIFS(Szamlaszamok!E:E,Szamlaszamok!A:A,Szamlaszamok_nonduplicate!A325)</f>
      </c>
    </row>
    <row r="326" spans="1:9">
      <c r="A326" t="s">
        <v>1156</v>
      </c>
      <c r="B326" t="str">
        <f>VLOOKUP($A326,Szamlaszamok!$A325:F1881,2,FALSE)</f>
      </c>
      <c r="C326" t="str">
        <f>VLOOKUP($A326,Szamlaszamok!$A325:F1881,3,FALSE)</f>
      </c>
      <c r="D326" t="str">
        <f>VLOOKUP($A326,Szamlaszamok!$A325:F1881,4,FALSE)</f>
      </c>
      <c r="E326" t="str">
        <f>DATE(YEAR(D326),MONTH(D326),DAY(D326))</f>
      </c>
      <c r="F326" t="str">
        <f>CONCATENATE(C326,E326)</f>
      </c>
      <c r="G326" t="str">
        <f>TIMEVALUE(D326)</f>
      </c>
      <c r="H326" t="str">
        <f>COUNTIF(Szamlaszamok!A:A,A326)</f>
      </c>
      <c r="I326" t="str">
        <f>SUMIFS(Szamlaszamok!E:E,Szamlaszamok!A:A,Szamlaszamok_nonduplicate!A326)</f>
      </c>
    </row>
    <row r="327" spans="1:9">
      <c r="A327" t="s">
        <v>1159</v>
      </c>
      <c r="B327" t="str">
        <f>VLOOKUP($A327,Szamlaszamok!$A326:F1882,2,FALSE)</f>
      </c>
      <c r="C327" t="str">
        <f>VLOOKUP($A327,Szamlaszamok!$A326:F1882,3,FALSE)</f>
      </c>
      <c r="D327" t="str">
        <f>VLOOKUP($A327,Szamlaszamok!$A326:F1882,4,FALSE)</f>
      </c>
      <c r="E327" t="str">
        <f>DATE(YEAR(D327),MONTH(D327),DAY(D327))</f>
      </c>
      <c r="F327" t="str">
        <f>CONCATENATE(C327,E327)</f>
      </c>
      <c r="G327" t="str">
        <f>TIMEVALUE(D327)</f>
      </c>
      <c r="H327" t="str">
        <f>COUNTIF(Szamlaszamok!A:A,A327)</f>
      </c>
      <c r="I327" t="str">
        <f>SUMIFS(Szamlaszamok!E:E,Szamlaszamok!A:A,Szamlaszamok_nonduplicate!A327)</f>
      </c>
    </row>
    <row r="328" spans="1:9">
      <c r="A328" t="s">
        <v>1163</v>
      </c>
      <c r="B328" t="str">
        <f>VLOOKUP($A328,Szamlaszamok!$A327:F1883,2,FALSE)</f>
      </c>
      <c r="C328" t="str">
        <f>VLOOKUP($A328,Szamlaszamok!$A327:F1883,3,FALSE)</f>
      </c>
      <c r="D328" t="str">
        <f>VLOOKUP($A328,Szamlaszamok!$A327:F1883,4,FALSE)</f>
      </c>
      <c r="E328" t="str">
        <f>DATE(YEAR(D328),MONTH(D328),DAY(D328))</f>
      </c>
      <c r="F328" t="str">
        <f>CONCATENATE(C328,E328)</f>
      </c>
      <c r="G328" t="str">
        <f>TIMEVALUE(D328)</f>
      </c>
      <c r="H328" t="str">
        <f>COUNTIF(Szamlaszamok!A:A,A328)</f>
      </c>
      <c r="I328" t="str">
        <f>SUMIFS(Szamlaszamok!E:E,Szamlaszamok!A:A,Szamlaszamok_nonduplicate!A328)</f>
      </c>
    </row>
    <row r="329" spans="1:9">
      <c r="A329" t="s">
        <v>1166</v>
      </c>
      <c r="B329" t="str">
        <f>VLOOKUP($A329,Szamlaszamok!$A328:F1884,2,FALSE)</f>
      </c>
      <c r="C329" t="str">
        <f>VLOOKUP($A329,Szamlaszamok!$A328:F1884,3,FALSE)</f>
      </c>
      <c r="D329" t="str">
        <f>VLOOKUP($A329,Szamlaszamok!$A328:F1884,4,FALSE)</f>
      </c>
      <c r="E329" t="str">
        <f>DATE(YEAR(D329),MONTH(D329),DAY(D329))</f>
      </c>
      <c r="F329" t="str">
        <f>CONCATENATE(C329,E329)</f>
      </c>
      <c r="G329" t="str">
        <f>TIMEVALUE(D329)</f>
      </c>
      <c r="H329" t="str">
        <f>COUNTIF(Szamlaszamok!A:A,A329)</f>
      </c>
      <c r="I329" t="str">
        <f>SUMIFS(Szamlaszamok!E:E,Szamlaszamok!A:A,Szamlaszamok_nonduplicate!A329)</f>
      </c>
    </row>
    <row r="330" spans="1:9">
      <c r="A330" t="s">
        <v>1170</v>
      </c>
      <c r="B330" t="str">
        <f>VLOOKUP($A330,Szamlaszamok!$A329:F1885,2,FALSE)</f>
      </c>
      <c r="C330" t="str">
        <f>VLOOKUP($A330,Szamlaszamok!$A329:F1885,3,FALSE)</f>
      </c>
      <c r="D330" t="str">
        <f>VLOOKUP($A330,Szamlaszamok!$A329:F1885,4,FALSE)</f>
      </c>
      <c r="E330" t="str">
        <f>DATE(YEAR(D330),MONTH(D330),DAY(D330))</f>
      </c>
      <c r="F330" t="str">
        <f>CONCATENATE(C330,E330)</f>
      </c>
      <c r="G330" t="str">
        <f>TIMEVALUE(D330)</f>
      </c>
      <c r="H330" t="str">
        <f>COUNTIF(Szamlaszamok!A:A,A330)</f>
      </c>
      <c r="I330" t="str">
        <f>SUMIFS(Szamlaszamok!E:E,Szamlaszamok!A:A,Szamlaszamok_nonduplicate!A330)</f>
      </c>
    </row>
    <row r="331" spans="1:9">
      <c r="A331" t="s">
        <v>1173</v>
      </c>
      <c r="B331" t="str">
        <f>VLOOKUP($A331,Szamlaszamok!$A330:F1886,2,FALSE)</f>
      </c>
      <c r="C331" t="str">
        <f>VLOOKUP($A331,Szamlaszamok!$A330:F1886,3,FALSE)</f>
      </c>
      <c r="D331" t="str">
        <f>VLOOKUP($A331,Szamlaszamok!$A330:F1886,4,FALSE)</f>
      </c>
      <c r="E331" t="str">
        <f>DATE(YEAR(D331),MONTH(D331),DAY(D331))</f>
      </c>
      <c r="F331" t="str">
        <f>CONCATENATE(C331,E331)</f>
      </c>
      <c r="G331" t="str">
        <f>TIMEVALUE(D331)</f>
      </c>
      <c r="H331" t="str">
        <f>COUNTIF(Szamlaszamok!A:A,A331)</f>
      </c>
      <c r="I331" t="str">
        <f>SUMIFS(Szamlaszamok!E:E,Szamlaszamok!A:A,Szamlaszamok_nonduplicate!A331)</f>
      </c>
    </row>
    <row r="332" spans="1:9">
      <c r="A332" t="s">
        <v>1176</v>
      </c>
      <c r="B332" t="str">
        <f>VLOOKUP($A332,Szamlaszamok!$A331:F1887,2,FALSE)</f>
      </c>
      <c r="C332" t="str">
        <f>VLOOKUP($A332,Szamlaszamok!$A331:F1887,3,FALSE)</f>
      </c>
      <c r="D332" t="str">
        <f>VLOOKUP($A332,Szamlaszamok!$A331:F1887,4,FALSE)</f>
      </c>
      <c r="E332" t="str">
        <f>DATE(YEAR(D332),MONTH(D332),DAY(D332))</f>
      </c>
      <c r="F332" t="str">
        <f>CONCATENATE(C332,E332)</f>
      </c>
      <c r="G332" t="str">
        <f>TIMEVALUE(D332)</f>
      </c>
      <c r="H332" t="str">
        <f>COUNTIF(Szamlaszamok!A:A,A332)</f>
      </c>
      <c r="I332" t="str">
        <f>SUMIFS(Szamlaszamok!E:E,Szamlaszamok!A:A,Szamlaszamok_nonduplicate!A332)</f>
      </c>
    </row>
    <row r="333" spans="1:9">
      <c r="A333" t="s">
        <v>1180</v>
      </c>
      <c r="B333" t="str">
        <f>VLOOKUP($A333,Szamlaszamok!$A332:F1888,2,FALSE)</f>
      </c>
      <c r="C333" t="str">
        <f>VLOOKUP($A333,Szamlaszamok!$A332:F1888,3,FALSE)</f>
      </c>
      <c r="D333" t="str">
        <f>VLOOKUP($A333,Szamlaszamok!$A332:F1888,4,FALSE)</f>
      </c>
      <c r="E333" t="str">
        <f>DATE(YEAR(D333),MONTH(D333),DAY(D333))</f>
      </c>
      <c r="F333" t="str">
        <f>CONCATENATE(C333,E333)</f>
      </c>
      <c r="G333" t="str">
        <f>TIMEVALUE(D333)</f>
      </c>
      <c r="H333" t="str">
        <f>COUNTIF(Szamlaszamok!A:A,A333)</f>
      </c>
      <c r="I333" t="str">
        <f>SUMIFS(Szamlaszamok!E:E,Szamlaszamok!A:A,Szamlaszamok_nonduplicate!A333)</f>
      </c>
    </row>
    <row r="334" spans="1:9">
      <c r="A334" t="s">
        <v>1182</v>
      </c>
      <c r="B334" t="str">
        <f>VLOOKUP($A334,Szamlaszamok!$A333:F1889,2,FALSE)</f>
      </c>
      <c r="C334" t="str">
        <f>VLOOKUP($A334,Szamlaszamok!$A333:F1889,3,FALSE)</f>
      </c>
      <c r="D334" t="str">
        <f>VLOOKUP($A334,Szamlaszamok!$A333:F1889,4,FALSE)</f>
      </c>
      <c r="E334" t="str">
        <f>DATE(YEAR(D334),MONTH(D334),DAY(D334))</f>
      </c>
      <c r="F334" t="str">
        <f>CONCATENATE(C334,E334)</f>
      </c>
      <c r="G334" t="str">
        <f>TIMEVALUE(D334)</f>
      </c>
      <c r="H334" t="str">
        <f>COUNTIF(Szamlaszamok!A:A,A334)</f>
      </c>
      <c r="I334" t="str">
        <f>SUMIFS(Szamlaszamok!E:E,Szamlaszamok!A:A,Szamlaszamok_nonduplicate!A334)</f>
      </c>
    </row>
    <row r="335" spans="1:9">
      <c r="A335" t="s">
        <v>1186</v>
      </c>
      <c r="B335" t="str">
        <f>VLOOKUP($A335,Szamlaszamok!$A334:F1890,2,FALSE)</f>
      </c>
      <c r="C335" t="str">
        <f>VLOOKUP($A335,Szamlaszamok!$A334:F1890,3,FALSE)</f>
      </c>
      <c r="D335" t="str">
        <f>VLOOKUP($A335,Szamlaszamok!$A334:F1890,4,FALSE)</f>
      </c>
      <c r="E335" t="str">
        <f>DATE(YEAR(D335),MONTH(D335),DAY(D335))</f>
      </c>
      <c r="F335" t="str">
        <f>CONCATENATE(C335,E335)</f>
      </c>
      <c r="G335" t="str">
        <f>TIMEVALUE(D335)</f>
      </c>
      <c r="H335" t="str">
        <f>COUNTIF(Szamlaszamok!A:A,A335)</f>
      </c>
      <c r="I335" t="str">
        <f>SUMIFS(Szamlaszamok!E:E,Szamlaszamok!A:A,Szamlaszamok_nonduplicate!A335)</f>
      </c>
    </row>
    <row r="336" spans="1:9">
      <c r="A336" t="s">
        <v>1190</v>
      </c>
      <c r="B336" t="str">
        <f>VLOOKUP($A336,Szamlaszamok!$A335:F1891,2,FALSE)</f>
      </c>
      <c r="C336" t="str">
        <f>VLOOKUP($A336,Szamlaszamok!$A335:F1891,3,FALSE)</f>
      </c>
      <c r="D336" t="str">
        <f>VLOOKUP($A336,Szamlaszamok!$A335:F1891,4,FALSE)</f>
      </c>
      <c r="E336" t="str">
        <f>DATE(YEAR(D336),MONTH(D336),DAY(D336))</f>
      </c>
      <c r="F336" t="str">
        <f>CONCATENATE(C336,E336)</f>
      </c>
      <c r="G336" t="str">
        <f>TIMEVALUE(D336)</f>
      </c>
      <c r="H336" t="str">
        <f>COUNTIF(Szamlaszamok!A:A,A336)</f>
      </c>
      <c r="I336" t="str">
        <f>SUMIFS(Szamlaszamok!E:E,Szamlaszamok!A:A,Szamlaszamok_nonduplicate!A336)</f>
      </c>
    </row>
    <row r="337" spans="1:9">
      <c r="A337" t="s">
        <v>1193</v>
      </c>
      <c r="B337" t="str">
        <f>VLOOKUP($A337,Szamlaszamok!$A336:F1892,2,FALSE)</f>
      </c>
      <c r="C337" t="str">
        <f>VLOOKUP($A337,Szamlaszamok!$A336:F1892,3,FALSE)</f>
      </c>
      <c r="D337" t="str">
        <f>VLOOKUP($A337,Szamlaszamok!$A336:F1892,4,FALSE)</f>
      </c>
      <c r="E337" t="str">
        <f>DATE(YEAR(D337),MONTH(D337),DAY(D337))</f>
      </c>
      <c r="F337" t="str">
        <f>CONCATENATE(C337,E337)</f>
      </c>
      <c r="G337" t="str">
        <f>TIMEVALUE(D337)</f>
      </c>
      <c r="H337" t="str">
        <f>COUNTIF(Szamlaszamok!A:A,A337)</f>
      </c>
      <c r="I337" t="str">
        <f>SUMIFS(Szamlaszamok!E:E,Szamlaszamok!A:A,Szamlaszamok_nonduplicate!A337)</f>
      </c>
    </row>
    <row r="338" spans="1:9">
      <c r="A338" t="s">
        <v>1197</v>
      </c>
      <c r="B338" t="str">
        <f>VLOOKUP($A338,Szamlaszamok!$A337:F1893,2,FALSE)</f>
      </c>
      <c r="C338" t="str">
        <f>VLOOKUP($A338,Szamlaszamok!$A337:F1893,3,FALSE)</f>
      </c>
      <c r="D338" t="str">
        <f>VLOOKUP($A338,Szamlaszamok!$A337:F1893,4,FALSE)</f>
      </c>
      <c r="E338" t="str">
        <f>DATE(YEAR(D338),MONTH(D338),DAY(D338))</f>
      </c>
      <c r="F338" t="str">
        <f>CONCATENATE(C338,E338)</f>
      </c>
      <c r="G338" t="str">
        <f>TIMEVALUE(D338)</f>
      </c>
      <c r="H338" t="str">
        <f>COUNTIF(Szamlaszamok!A:A,A338)</f>
      </c>
      <c r="I338" t="str">
        <f>SUMIFS(Szamlaszamok!E:E,Szamlaszamok!A:A,Szamlaszamok_nonduplicate!A338)</f>
      </c>
    </row>
    <row r="339" spans="1:9">
      <c r="A339" t="s">
        <v>1201</v>
      </c>
      <c r="B339" t="str">
        <f>VLOOKUP($A339,Szamlaszamok!$A338:F1894,2,FALSE)</f>
      </c>
      <c r="C339" t="str">
        <f>VLOOKUP($A339,Szamlaszamok!$A338:F1894,3,FALSE)</f>
      </c>
      <c r="D339" t="str">
        <f>VLOOKUP($A339,Szamlaszamok!$A338:F1894,4,FALSE)</f>
      </c>
      <c r="E339" t="str">
        <f>DATE(YEAR(D339),MONTH(D339),DAY(D339))</f>
      </c>
      <c r="F339" t="str">
        <f>CONCATENATE(C339,E339)</f>
      </c>
      <c r="G339" t="str">
        <f>TIMEVALUE(D339)</f>
      </c>
      <c r="H339" t="str">
        <f>COUNTIF(Szamlaszamok!A:A,A339)</f>
      </c>
      <c r="I339" t="str">
        <f>SUMIFS(Szamlaszamok!E:E,Szamlaszamok!A:A,Szamlaszamok_nonduplicate!A339)</f>
      </c>
    </row>
    <row r="340" spans="1:9">
      <c r="A340" t="s">
        <v>1205</v>
      </c>
      <c r="B340" t="str">
        <f>VLOOKUP($A340,Szamlaszamok!$A339:F1895,2,FALSE)</f>
      </c>
      <c r="C340" t="str">
        <f>VLOOKUP($A340,Szamlaszamok!$A339:F1895,3,FALSE)</f>
      </c>
      <c r="D340" t="str">
        <f>VLOOKUP($A340,Szamlaszamok!$A339:F1895,4,FALSE)</f>
      </c>
      <c r="E340" t="str">
        <f>DATE(YEAR(D340),MONTH(D340),DAY(D340))</f>
      </c>
      <c r="F340" t="str">
        <f>CONCATENATE(C340,E340)</f>
      </c>
      <c r="G340" t="str">
        <f>TIMEVALUE(D340)</f>
      </c>
      <c r="H340" t="str">
        <f>COUNTIF(Szamlaszamok!A:A,A340)</f>
      </c>
      <c r="I340" t="str">
        <f>SUMIFS(Szamlaszamok!E:E,Szamlaszamok!A:A,Szamlaszamok_nonduplicate!A340)</f>
      </c>
    </row>
    <row r="341" spans="1:9">
      <c r="A341" t="s">
        <v>1209</v>
      </c>
      <c r="B341" t="str">
        <f>VLOOKUP($A341,Szamlaszamok!$A340:F1896,2,FALSE)</f>
      </c>
      <c r="C341" t="str">
        <f>VLOOKUP($A341,Szamlaszamok!$A340:F1896,3,FALSE)</f>
      </c>
      <c r="D341" t="str">
        <f>VLOOKUP($A341,Szamlaszamok!$A340:F1896,4,FALSE)</f>
      </c>
      <c r="E341" t="str">
        <f>DATE(YEAR(D341),MONTH(D341),DAY(D341))</f>
      </c>
      <c r="F341" t="str">
        <f>CONCATENATE(C341,E341)</f>
      </c>
      <c r="G341" t="str">
        <f>TIMEVALUE(D341)</f>
      </c>
      <c r="H341" t="str">
        <f>COUNTIF(Szamlaszamok!A:A,A341)</f>
      </c>
      <c r="I341" t="str">
        <f>SUMIFS(Szamlaszamok!E:E,Szamlaszamok!A:A,Szamlaszamok_nonduplicate!A341)</f>
      </c>
    </row>
    <row r="342" spans="1:9">
      <c r="A342" t="s">
        <v>1213</v>
      </c>
      <c r="B342" t="str">
        <f>VLOOKUP($A342,Szamlaszamok!$A341:F1897,2,FALSE)</f>
      </c>
      <c r="C342" t="str">
        <f>VLOOKUP($A342,Szamlaszamok!$A341:F1897,3,FALSE)</f>
      </c>
      <c r="D342" t="str">
        <f>VLOOKUP($A342,Szamlaszamok!$A341:F1897,4,FALSE)</f>
      </c>
      <c r="E342" t="str">
        <f>DATE(YEAR(D342),MONTH(D342),DAY(D342))</f>
      </c>
      <c r="F342" t="str">
        <f>CONCATENATE(C342,E342)</f>
      </c>
      <c r="G342" t="str">
        <f>TIMEVALUE(D342)</f>
      </c>
      <c r="H342" t="str">
        <f>COUNTIF(Szamlaszamok!A:A,A342)</f>
      </c>
      <c r="I342" t="str">
        <f>SUMIFS(Szamlaszamok!E:E,Szamlaszamok!A:A,Szamlaszamok_nonduplicate!A342)</f>
      </c>
    </row>
    <row r="343" spans="1:9">
      <c r="A343" t="s">
        <v>1216</v>
      </c>
      <c r="B343" t="str">
        <f>VLOOKUP($A343,Szamlaszamok!$A342:F1898,2,FALSE)</f>
      </c>
      <c r="C343" t="str">
        <f>VLOOKUP($A343,Szamlaszamok!$A342:F1898,3,FALSE)</f>
      </c>
      <c r="D343" t="str">
        <f>VLOOKUP($A343,Szamlaszamok!$A342:F1898,4,FALSE)</f>
      </c>
      <c r="E343" t="str">
        <f>DATE(YEAR(D343),MONTH(D343),DAY(D343))</f>
      </c>
      <c r="F343" t="str">
        <f>CONCATENATE(C343,E343)</f>
      </c>
      <c r="G343" t="str">
        <f>TIMEVALUE(D343)</f>
      </c>
      <c r="H343" t="str">
        <f>COUNTIF(Szamlaszamok!A:A,A343)</f>
      </c>
      <c r="I343" t="str">
        <f>SUMIFS(Szamlaszamok!E:E,Szamlaszamok!A:A,Szamlaszamok_nonduplicate!A343)</f>
      </c>
    </row>
    <row r="344" spans="1:9">
      <c r="A344" t="s">
        <v>1219</v>
      </c>
      <c r="B344" t="str">
        <f>VLOOKUP($A344,Szamlaszamok!$A343:F1899,2,FALSE)</f>
      </c>
      <c r="C344" t="str">
        <f>VLOOKUP($A344,Szamlaszamok!$A343:F1899,3,FALSE)</f>
      </c>
      <c r="D344" t="str">
        <f>VLOOKUP($A344,Szamlaszamok!$A343:F1899,4,FALSE)</f>
      </c>
      <c r="E344" t="str">
        <f>DATE(YEAR(D344),MONTH(D344),DAY(D344))</f>
      </c>
      <c r="F344" t="str">
        <f>CONCATENATE(C344,E344)</f>
      </c>
      <c r="G344" t="str">
        <f>TIMEVALUE(D344)</f>
      </c>
      <c r="H344" t="str">
        <f>COUNTIF(Szamlaszamok!A:A,A344)</f>
      </c>
      <c r="I344" t="str">
        <f>SUMIFS(Szamlaszamok!E:E,Szamlaszamok!A:A,Szamlaszamok_nonduplicate!A344)</f>
      </c>
    </row>
    <row r="345" spans="1:9">
      <c r="A345" t="s">
        <v>1222</v>
      </c>
      <c r="B345" t="str">
        <f>VLOOKUP($A345,Szamlaszamok!$A344:F1900,2,FALSE)</f>
      </c>
      <c r="C345" t="str">
        <f>VLOOKUP($A345,Szamlaszamok!$A344:F1900,3,FALSE)</f>
      </c>
      <c r="D345" t="str">
        <f>VLOOKUP($A345,Szamlaszamok!$A344:F1900,4,FALSE)</f>
      </c>
      <c r="E345" t="str">
        <f>DATE(YEAR(D345),MONTH(D345),DAY(D345))</f>
      </c>
      <c r="F345" t="str">
        <f>CONCATENATE(C345,E345)</f>
      </c>
      <c r="G345" t="str">
        <f>TIMEVALUE(D345)</f>
      </c>
      <c r="H345" t="str">
        <f>COUNTIF(Szamlaszamok!A:A,A345)</f>
      </c>
      <c r="I345" t="str">
        <f>SUMIFS(Szamlaszamok!E:E,Szamlaszamok!A:A,Szamlaszamok_nonduplicate!A345)</f>
      </c>
    </row>
    <row r="346" spans="1:9">
      <c r="A346" t="s">
        <v>1226</v>
      </c>
      <c r="B346" t="str">
        <f>VLOOKUP($A346,Szamlaszamok!$A345:F1901,2,FALSE)</f>
      </c>
      <c r="C346" t="str">
        <f>VLOOKUP($A346,Szamlaszamok!$A345:F1901,3,FALSE)</f>
      </c>
      <c r="D346" t="str">
        <f>VLOOKUP($A346,Szamlaszamok!$A345:F1901,4,FALSE)</f>
      </c>
      <c r="E346" t="str">
        <f>DATE(YEAR(D346),MONTH(D346),DAY(D346))</f>
      </c>
      <c r="F346" t="str">
        <f>CONCATENATE(C346,E346)</f>
      </c>
      <c r="G346" t="str">
        <f>TIMEVALUE(D346)</f>
      </c>
      <c r="H346" t="str">
        <f>COUNTIF(Szamlaszamok!A:A,A346)</f>
      </c>
      <c r="I346" t="str">
        <f>SUMIFS(Szamlaszamok!E:E,Szamlaszamok!A:A,Szamlaszamok_nonduplicate!A346)</f>
      </c>
    </row>
    <row r="347" spans="1:9">
      <c r="A347" t="s">
        <v>1229</v>
      </c>
      <c r="B347" t="str">
        <f>VLOOKUP($A347,Szamlaszamok!$A346:F1902,2,FALSE)</f>
      </c>
      <c r="C347" t="str">
        <f>VLOOKUP($A347,Szamlaszamok!$A346:F1902,3,FALSE)</f>
      </c>
      <c r="D347" t="str">
        <f>VLOOKUP($A347,Szamlaszamok!$A346:F1902,4,FALSE)</f>
      </c>
      <c r="E347" t="str">
        <f>DATE(YEAR(D347),MONTH(D347),DAY(D347))</f>
      </c>
      <c r="F347" t="str">
        <f>CONCATENATE(C347,E347)</f>
      </c>
      <c r="G347" t="str">
        <f>TIMEVALUE(D347)</f>
      </c>
      <c r="H347" t="str">
        <f>COUNTIF(Szamlaszamok!A:A,A347)</f>
      </c>
      <c r="I347" t="str">
        <f>SUMIFS(Szamlaszamok!E:E,Szamlaszamok!A:A,Szamlaszamok_nonduplicate!A347)</f>
      </c>
    </row>
    <row r="348" spans="1:9">
      <c r="A348" t="s">
        <v>1233</v>
      </c>
      <c r="B348" t="str">
        <f>VLOOKUP($A348,Szamlaszamok!$A347:F1903,2,FALSE)</f>
      </c>
      <c r="C348" t="str">
        <f>VLOOKUP($A348,Szamlaszamok!$A347:F1903,3,FALSE)</f>
      </c>
      <c r="D348" t="str">
        <f>VLOOKUP($A348,Szamlaszamok!$A347:F1903,4,FALSE)</f>
      </c>
      <c r="E348" t="str">
        <f>DATE(YEAR(D348),MONTH(D348),DAY(D348))</f>
      </c>
      <c r="F348" t="str">
        <f>CONCATENATE(C348,E348)</f>
      </c>
      <c r="G348" t="str">
        <f>TIMEVALUE(D348)</f>
      </c>
      <c r="H348" t="str">
        <f>COUNTIF(Szamlaszamok!A:A,A348)</f>
      </c>
      <c r="I348" t="str">
        <f>SUMIFS(Szamlaszamok!E:E,Szamlaszamok!A:A,Szamlaszamok_nonduplicate!A348)</f>
      </c>
    </row>
    <row r="349" spans="1:9">
      <c r="A349" t="s">
        <v>1236</v>
      </c>
      <c r="B349" t="str">
        <f>VLOOKUP($A349,Szamlaszamok!$A348:F1904,2,FALSE)</f>
      </c>
      <c r="C349" t="str">
        <f>VLOOKUP($A349,Szamlaszamok!$A348:F1904,3,FALSE)</f>
      </c>
      <c r="D349" t="str">
        <f>VLOOKUP($A349,Szamlaszamok!$A348:F1904,4,FALSE)</f>
      </c>
      <c r="E349" t="str">
        <f>DATE(YEAR(D349),MONTH(D349),DAY(D349))</f>
      </c>
      <c r="F349" t="str">
        <f>CONCATENATE(C349,E349)</f>
      </c>
      <c r="G349" t="str">
        <f>TIMEVALUE(D349)</f>
      </c>
      <c r="H349" t="str">
        <f>COUNTIF(Szamlaszamok!A:A,A349)</f>
      </c>
      <c r="I349" t="str">
        <f>SUMIFS(Szamlaszamok!E:E,Szamlaszamok!A:A,Szamlaszamok_nonduplicate!A349)</f>
      </c>
    </row>
    <row r="350" spans="1:9">
      <c r="A350" t="s">
        <v>1239</v>
      </c>
      <c r="B350" t="str">
        <f>VLOOKUP($A350,Szamlaszamok!$A349:F1905,2,FALSE)</f>
      </c>
      <c r="C350" t="str">
        <f>VLOOKUP($A350,Szamlaszamok!$A349:F1905,3,FALSE)</f>
      </c>
      <c r="D350" t="str">
        <f>VLOOKUP($A350,Szamlaszamok!$A349:F1905,4,FALSE)</f>
      </c>
      <c r="E350" t="str">
        <f>DATE(YEAR(D350),MONTH(D350),DAY(D350))</f>
      </c>
      <c r="F350" t="str">
        <f>CONCATENATE(C350,E350)</f>
      </c>
      <c r="G350" t="str">
        <f>TIMEVALUE(D350)</f>
      </c>
      <c r="H350" t="str">
        <f>COUNTIF(Szamlaszamok!A:A,A350)</f>
      </c>
      <c r="I350" t="str">
        <f>SUMIFS(Szamlaszamok!E:E,Szamlaszamok!A:A,Szamlaszamok_nonduplicate!A350)</f>
      </c>
    </row>
    <row r="351" spans="1:9">
      <c r="A351" t="s">
        <v>1242</v>
      </c>
      <c r="B351" t="str">
        <f>VLOOKUP($A351,Szamlaszamok!$A350:F1906,2,FALSE)</f>
      </c>
      <c r="C351" t="str">
        <f>VLOOKUP($A351,Szamlaszamok!$A350:F1906,3,FALSE)</f>
      </c>
      <c r="D351" t="str">
        <f>VLOOKUP($A351,Szamlaszamok!$A350:F1906,4,FALSE)</f>
      </c>
      <c r="E351" t="str">
        <f>DATE(YEAR(D351),MONTH(D351),DAY(D351))</f>
      </c>
      <c r="F351" t="str">
        <f>CONCATENATE(C351,E351)</f>
      </c>
      <c r="G351" t="str">
        <f>TIMEVALUE(D351)</f>
      </c>
      <c r="H351" t="str">
        <f>COUNTIF(Szamlaszamok!A:A,A351)</f>
      </c>
      <c r="I351" t="str">
        <f>SUMIFS(Szamlaszamok!E:E,Szamlaszamok!A:A,Szamlaszamok_nonduplicate!A351)</f>
      </c>
    </row>
    <row r="352" spans="1:9">
      <c r="A352" t="s">
        <v>1245</v>
      </c>
      <c r="B352" t="str">
        <f>VLOOKUP($A352,Szamlaszamok!$A351:F1907,2,FALSE)</f>
      </c>
      <c r="C352" t="str">
        <f>VLOOKUP($A352,Szamlaszamok!$A351:F1907,3,FALSE)</f>
      </c>
      <c r="D352" t="str">
        <f>VLOOKUP($A352,Szamlaszamok!$A351:F1907,4,FALSE)</f>
      </c>
      <c r="E352" t="str">
        <f>DATE(YEAR(D352),MONTH(D352),DAY(D352))</f>
      </c>
      <c r="F352" t="str">
        <f>CONCATENATE(C352,E352)</f>
      </c>
      <c r="G352" t="str">
        <f>TIMEVALUE(D352)</f>
      </c>
      <c r="H352" t="str">
        <f>COUNTIF(Szamlaszamok!A:A,A352)</f>
      </c>
      <c r="I352" t="str">
        <f>SUMIFS(Szamlaszamok!E:E,Szamlaszamok!A:A,Szamlaszamok_nonduplicate!A352)</f>
      </c>
    </row>
    <row r="353" spans="1:9">
      <c r="A353" t="s">
        <v>1249</v>
      </c>
      <c r="B353" t="str">
        <f>VLOOKUP($A353,Szamlaszamok!$A352:F1908,2,FALSE)</f>
      </c>
      <c r="C353" t="str">
        <f>VLOOKUP($A353,Szamlaszamok!$A352:F1908,3,FALSE)</f>
      </c>
      <c r="D353" t="str">
        <f>VLOOKUP($A353,Szamlaszamok!$A352:F1908,4,FALSE)</f>
      </c>
      <c r="E353" t="str">
        <f>DATE(YEAR(D353),MONTH(D353),DAY(D353))</f>
      </c>
      <c r="F353" t="str">
        <f>CONCATENATE(C353,E353)</f>
      </c>
      <c r="G353" t="str">
        <f>TIMEVALUE(D353)</f>
      </c>
      <c r="H353" t="str">
        <f>COUNTIF(Szamlaszamok!A:A,A353)</f>
      </c>
      <c r="I353" t="str">
        <f>SUMIFS(Szamlaszamok!E:E,Szamlaszamok!A:A,Szamlaszamok_nonduplicate!A353)</f>
      </c>
    </row>
    <row r="354" spans="1:9">
      <c r="A354" t="s">
        <v>1253</v>
      </c>
      <c r="B354" t="str">
        <f>VLOOKUP($A354,Szamlaszamok!$A353:F1909,2,FALSE)</f>
      </c>
      <c r="C354" t="str">
        <f>VLOOKUP($A354,Szamlaszamok!$A353:F1909,3,FALSE)</f>
      </c>
      <c r="D354" t="str">
        <f>VLOOKUP($A354,Szamlaszamok!$A353:F1909,4,FALSE)</f>
      </c>
      <c r="E354" t="str">
        <f>DATE(YEAR(D354),MONTH(D354),DAY(D354))</f>
      </c>
      <c r="F354" t="str">
        <f>CONCATENATE(C354,E354)</f>
      </c>
      <c r="G354" t="str">
        <f>TIMEVALUE(D354)</f>
      </c>
      <c r="H354" t="str">
        <f>COUNTIF(Szamlaszamok!A:A,A354)</f>
      </c>
      <c r="I354" t="str">
        <f>SUMIFS(Szamlaszamok!E:E,Szamlaszamok!A:A,Szamlaszamok_nonduplicate!A354)</f>
      </c>
    </row>
    <row r="355" spans="1:9">
      <c r="A355" t="s">
        <v>1256</v>
      </c>
      <c r="B355" t="str">
        <f>VLOOKUP($A355,Szamlaszamok!$A354:F1910,2,FALSE)</f>
      </c>
      <c r="C355" t="str">
        <f>VLOOKUP($A355,Szamlaszamok!$A354:F1910,3,FALSE)</f>
      </c>
      <c r="D355" t="str">
        <f>VLOOKUP($A355,Szamlaszamok!$A354:F1910,4,FALSE)</f>
      </c>
      <c r="E355" t="str">
        <f>DATE(YEAR(D355),MONTH(D355),DAY(D355))</f>
      </c>
      <c r="F355" t="str">
        <f>CONCATENATE(C355,E355)</f>
      </c>
      <c r="G355" t="str">
        <f>TIMEVALUE(D355)</f>
      </c>
      <c r="H355" t="str">
        <f>COUNTIF(Szamlaszamok!A:A,A355)</f>
      </c>
      <c r="I355" t="str">
        <f>SUMIFS(Szamlaszamok!E:E,Szamlaszamok!A:A,Szamlaszamok_nonduplicate!A355)</f>
      </c>
    </row>
    <row r="356" spans="1:9">
      <c r="A356" t="s">
        <v>1259</v>
      </c>
      <c r="B356" t="str">
        <f>VLOOKUP($A356,Szamlaszamok!$A355:F1911,2,FALSE)</f>
      </c>
      <c r="C356" t="str">
        <f>VLOOKUP($A356,Szamlaszamok!$A355:F1911,3,FALSE)</f>
      </c>
      <c r="D356" t="str">
        <f>VLOOKUP($A356,Szamlaszamok!$A355:F1911,4,FALSE)</f>
      </c>
      <c r="E356" t="str">
        <f>DATE(YEAR(D356),MONTH(D356),DAY(D356))</f>
      </c>
      <c r="F356" t="str">
        <f>CONCATENATE(C356,E356)</f>
      </c>
      <c r="G356" t="str">
        <f>TIMEVALUE(D356)</f>
      </c>
      <c r="H356" t="str">
        <f>COUNTIF(Szamlaszamok!A:A,A356)</f>
      </c>
      <c r="I356" t="str">
        <f>SUMIFS(Szamlaszamok!E:E,Szamlaszamok!A:A,Szamlaszamok_nonduplicate!A356)</f>
      </c>
    </row>
    <row r="357" spans="1:9">
      <c r="A357" t="s">
        <v>1262</v>
      </c>
      <c r="B357" t="str">
        <f>VLOOKUP($A357,Szamlaszamok!$A356:F1912,2,FALSE)</f>
      </c>
      <c r="C357" t="str">
        <f>VLOOKUP($A357,Szamlaszamok!$A356:F1912,3,FALSE)</f>
      </c>
      <c r="D357" t="str">
        <f>VLOOKUP($A357,Szamlaszamok!$A356:F1912,4,FALSE)</f>
      </c>
      <c r="E357" t="str">
        <f>DATE(YEAR(D357),MONTH(D357),DAY(D357))</f>
      </c>
      <c r="F357" t="str">
        <f>CONCATENATE(C357,E357)</f>
      </c>
      <c r="G357" t="str">
        <f>TIMEVALUE(D357)</f>
      </c>
      <c r="H357" t="str">
        <f>COUNTIF(Szamlaszamok!A:A,A357)</f>
      </c>
      <c r="I357" t="str">
        <f>SUMIFS(Szamlaszamok!E:E,Szamlaszamok!A:A,Szamlaszamok_nonduplicate!A357)</f>
      </c>
    </row>
    <row r="358" spans="1:9">
      <c r="A358" t="s">
        <v>1266</v>
      </c>
      <c r="B358" t="str">
        <f>VLOOKUP($A358,Szamlaszamok!$A357:F1913,2,FALSE)</f>
      </c>
      <c r="C358" t="str">
        <f>VLOOKUP($A358,Szamlaszamok!$A357:F1913,3,FALSE)</f>
      </c>
      <c r="D358" t="str">
        <f>VLOOKUP($A358,Szamlaszamok!$A357:F1913,4,FALSE)</f>
      </c>
      <c r="E358" t="str">
        <f>DATE(YEAR(D358),MONTH(D358),DAY(D358))</f>
      </c>
      <c r="F358" t="str">
        <f>CONCATENATE(C358,E358)</f>
      </c>
      <c r="G358" t="str">
        <f>TIMEVALUE(D358)</f>
      </c>
      <c r="H358" t="str">
        <f>COUNTIF(Szamlaszamok!A:A,A358)</f>
      </c>
      <c r="I358" t="str">
        <f>SUMIFS(Szamlaszamok!E:E,Szamlaszamok!A:A,Szamlaszamok_nonduplicate!A358)</f>
      </c>
    </row>
    <row r="359" spans="1:9">
      <c r="A359" t="s">
        <v>1270</v>
      </c>
      <c r="B359" t="str">
        <f>VLOOKUP($A359,Szamlaszamok!$A358:F1914,2,FALSE)</f>
      </c>
      <c r="C359" t="str">
        <f>VLOOKUP($A359,Szamlaszamok!$A358:F1914,3,FALSE)</f>
      </c>
      <c r="D359" t="str">
        <f>VLOOKUP($A359,Szamlaszamok!$A358:F1914,4,FALSE)</f>
      </c>
      <c r="E359" t="str">
        <f>DATE(YEAR(D359),MONTH(D359),DAY(D359))</f>
      </c>
      <c r="F359" t="str">
        <f>CONCATENATE(C359,E359)</f>
      </c>
      <c r="G359" t="str">
        <f>TIMEVALUE(D359)</f>
      </c>
      <c r="H359" t="str">
        <f>COUNTIF(Szamlaszamok!A:A,A359)</f>
      </c>
      <c r="I359" t="str">
        <f>SUMIFS(Szamlaszamok!E:E,Szamlaszamok!A:A,Szamlaszamok_nonduplicate!A359)</f>
      </c>
    </row>
    <row r="360" spans="1:9">
      <c r="A360" t="s">
        <v>1273</v>
      </c>
      <c r="B360" t="str">
        <f>VLOOKUP($A360,Szamlaszamok!$A359:F1915,2,FALSE)</f>
      </c>
      <c r="C360" t="str">
        <f>VLOOKUP($A360,Szamlaszamok!$A359:F1915,3,FALSE)</f>
      </c>
      <c r="D360" t="str">
        <f>VLOOKUP($A360,Szamlaszamok!$A359:F1915,4,FALSE)</f>
      </c>
      <c r="E360" t="str">
        <f>DATE(YEAR(D360),MONTH(D360),DAY(D360))</f>
      </c>
      <c r="F360" t="str">
        <f>CONCATENATE(C360,E360)</f>
      </c>
      <c r="G360" t="str">
        <f>TIMEVALUE(D360)</f>
      </c>
      <c r="H360" t="str">
        <f>COUNTIF(Szamlaszamok!A:A,A360)</f>
      </c>
      <c r="I360" t="str">
        <f>SUMIFS(Szamlaszamok!E:E,Szamlaszamok!A:A,Szamlaszamok_nonduplicate!A360)</f>
      </c>
    </row>
    <row r="361" spans="1:9">
      <c r="A361" t="s">
        <v>1277</v>
      </c>
      <c r="B361" t="str">
        <f>VLOOKUP($A361,Szamlaszamok!$A360:F1916,2,FALSE)</f>
      </c>
      <c r="C361" t="str">
        <f>VLOOKUP($A361,Szamlaszamok!$A360:F1916,3,FALSE)</f>
      </c>
      <c r="D361" t="str">
        <f>VLOOKUP($A361,Szamlaszamok!$A360:F1916,4,FALSE)</f>
      </c>
      <c r="E361" t="str">
        <f>DATE(YEAR(D361),MONTH(D361),DAY(D361))</f>
      </c>
      <c r="F361" t="str">
        <f>CONCATENATE(C361,E361)</f>
      </c>
      <c r="G361" t="str">
        <f>TIMEVALUE(D361)</f>
      </c>
      <c r="H361" t="str">
        <f>COUNTIF(Szamlaszamok!A:A,A361)</f>
      </c>
      <c r="I361" t="str">
        <f>SUMIFS(Szamlaszamok!E:E,Szamlaszamok!A:A,Szamlaszamok_nonduplicate!A361)</f>
      </c>
    </row>
    <row r="362" spans="1:9">
      <c r="A362" t="s">
        <v>1280</v>
      </c>
      <c r="B362" t="str">
        <f>VLOOKUP($A362,Szamlaszamok!$A361:F1917,2,FALSE)</f>
      </c>
      <c r="C362" t="str">
        <f>VLOOKUP($A362,Szamlaszamok!$A361:F1917,3,FALSE)</f>
      </c>
      <c r="D362" t="str">
        <f>VLOOKUP($A362,Szamlaszamok!$A361:F1917,4,FALSE)</f>
      </c>
      <c r="E362" t="str">
        <f>DATE(YEAR(D362),MONTH(D362),DAY(D362))</f>
      </c>
      <c r="F362" t="str">
        <f>CONCATENATE(C362,E362)</f>
      </c>
      <c r="G362" t="str">
        <f>TIMEVALUE(D362)</f>
      </c>
      <c r="H362" t="str">
        <f>COUNTIF(Szamlaszamok!A:A,A362)</f>
      </c>
      <c r="I362" t="str">
        <f>SUMIFS(Szamlaszamok!E:E,Szamlaszamok!A:A,Szamlaszamok_nonduplicate!A362)</f>
      </c>
    </row>
    <row r="363" spans="1:9">
      <c r="A363" t="s">
        <v>1284</v>
      </c>
      <c r="B363" t="str">
        <f>VLOOKUP($A363,Szamlaszamok!$A362:F1918,2,FALSE)</f>
      </c>
      <c r="C363" t="str">
        <f>VLOOKUP($A363,Szamlaszamok!$A362:F1918,3,FALSE)</f>
      </c>
      <c r="D363" t="str">
        <f>VLOOKUP($A363,Szamlaszamok!$A362:F1918,4,FALSE)</f>
      </c>
      <c r="E363" t="str">
        <f>DATE(YEAR(D363),MONTH(D363),DAY(D363))</f>
      </c>
      <c r="F363" t="str">
        <f>CONCATENATE(C363,E363)</f>
      </c>
      <c r="G363" t="str">
        <f>TIMEVALUE(D363)</f>
      </c>
      <c r="H363" t="str">
        <f>COUNTIF(Szamlaszamok!A:A,A363)</f>
      </c>
      <c r="I363" t="str">
        <f>SUMIFS(Szamlaszamok!E:E,Szamlaszamok!A:A,Szamlaszamok_nonduplicate!A363)</f>
      </c>
    </row>
    <row r="364" spans="1:9">
      <c r="A364" t="s">
        <v>1288</v>
      </c>
      <c r="B364" t="str">
        <f>VLOOKUP($A364,Szamlaszamok!$A363:F1919,2,FALSE)</f>
      </c>
      <c r="C364" t="str">
        <f>VLOOKUP($A364,Szamlaszamok!$A363:F1919,3,FALSE)</f>
      </c>
      <c r="D364" t="str">
        <f>VLOOKUP($A364,Szamlaszamok!$A363:F1919,4,FALSE)</f>
      </c>
      <c r="E364" t="str">
        <f>DATE(YEAR(D364),MONTH(D364),DAY(D364))</f>
      </c>
      <c r="F364" t="str">
        <f>CONCATENATE(C364,E364)</f>
      </c>
      <c r="G364" t="str">
        <f>TIMEVALUE(D364)</f>
      </c>
      <c r="H364" t="str">
        <f>COUNTIF(Szamlaszamok!A:A,A364)</f>
      </c>
      <c r="I364" t="str">
        <f>SUMIFS(Szamlaszamok!E:E,Szamlaszamok!A:A,Szamlaszamok_nonduplicate!A364)</f>
      </c>
    </row>
    <row r="365" spans="1:9">
      <c r="A365" t="s">
        <v>1291</v>
      </c>
      <c r="B365" t="str">
        <f>VLOOKUP($A365,Szamlaszamok!$A364:F1920,2,FALSE)</f>
      </c>
      <c r="C365" t="str">
        <f>VLOOKUP($A365,Szamlaszamok!$A364:F1920,3,FALSE)</f>
      </c>
      <c r="D365" t="str">
        <f>VLOOKUP($A365,Szamlaszamok!$A364:F1920,4,FALSE)</f>
      </c>
      <c r="E365" t="str">
        <f>DATE(YEAR(D365),MONTH(D365),DAY(D365))</f>
      </c>
      <c r="F365" t="str">
        <f>CONCATENATE(C365,E365)</f>
      </c>
      <c r="G365" t="str">
        <f>TIMEVALUE(D365)</f>
      </c>
      <c r="H365" t="str">
        <f>COUNTIF(Szamlaszamok!A:A,A365)</f>
      </c>
      <c r="I365" t="str">
        <f>SUMIFS(Szamlaszamok!E:E,Szamlaszamok!A:A,Szamlaszamok_nonduplicate!A365)</f>
      </c>
    </row>
    <row r="366" spans="1:9">
      <c r="A366" t="s">
        <v>1294</v>
      </c>
      <c r="B366" t="str">
        <f>VLOOKUP($A366,Szamlaszamok!$A365:F1921,2,FALSE)</f>
      </c>
      <c r="C366" t="str">
        <f>VLOOKUP($A366,Szamlaszamok!$A365:F1921,3,FALSE)</f>
      </c>
      <c r="D366" t="str">
        <f>VLOOKUP($A366,Szamlaszamok!$A365:F1921,4,FALSE)</f>
      </c>
      <c r="E366" t="str">
        <f>DATE(YEAR(D366),MONTH(D366),DAY(D366))</f>
      </c>
      <c r="F366" t="str">
        <f>CONCATENATE(C366,E366)</f>
      </c>
      <c r="G366" t="str">
        <f>TIMEVALUE(D366)</f>
      </c>
      <c r="H366" t="str">
        <f>COUNTIF(Szamlaszamok!A:A,A366)</f>
      </c>
      <c r="I366" t="str">
        <f>SUMIFS(Szamlaszamok!E:E,Szamlaszamok!A:A,Szamlaszamok_nonduplicate!A366)</f>
      </c>
    </row>
    <row r="367" spans="1:9">
      <c r="A367" t="s">
        <v>1298</v>
      </c>
      <c r="B367" t="str">
        <f>VLOOKUP($A367,Szamlaszamok!$A366:F1922,2,FALSE)</f>
      </c>
      <c r="C367" t="str">
        <f>VLOOKUP($A367,Szamlaszamok!$A366:F1922,3,FALSE)</f>
      </c>
      <c r="D367" t="str">
        <f>VLOOKUP($A367,Szamlaszamok!$A366:F1922,4,FALSE)</f>
      </c>
      <c r="E367" t="str">
        <f>DATE(YEAR(D367),MONTH(D367),DAY(D367))</f>
      </c>
      <c r="F367" t="str">
        <f>CONCATENATE(C367,E367)</f>
      </c>
      <c r="G367" t="str">
        <f>TIMEVALUE(D367)</f>
      </c>
      <c r="H367" t="str">
        <f>COUNTIF(Szamlaszamok!A:A,A367)</f>
      </c>
      <c r="I367" t="str">
        <f>SUMIFS(Szamlaszamok!E:E,Szamlaszamok!A:A,Szamlaszamok_nonduplicate!A367)</f>
      </c>
    </row>
    <row r="368" spans="1:9">
      <c r="A368" t="s">
        <v>1301</v>
      </c>
      <c r="B368" t="str">
        <f>VLOOKUP($A368,Szamlaszamok!$A367:F1923,2,FALSE)</f>
      </c>
      <c r="C368" t="str">
        <f>VLOOKUP($A368,Szamlaszamok!$A367:F1923,3,FALSE)</f>
      </c>
      <c r="D368" t="str">
        <f>VLOOKUP($A368,Szamlaszamok!$A367:F1923,4,FALSE)</f>
      </c>
      <c r="E368" t="str">
        <f>DATE(YEAR(D368),MONTH(D368),DAY(D368))</f>
      </c>
      <c r="F368" t="str">
        <f>CONCATENATE(C368,E368)</f>
      </c>
      <c r="G368" t="str">
        <f>TIMEVALUE(D368)</f>
      </c>
      <c r="H368" t="str">
        <f>COUNTIF(Szamlaszamok!A:A,A368)</f>
      </c>
      <c r="I368" t="str">
        <f>SUMIFS(Szamlaszamok!E:E,Szamlaszamok!A:A,Szamlaszamok_nonduplicate!A368)</f>
      </c>
    </row>
    <row r="369" spans="1:9">
      <c r="A369" t="s">
        <v>1304</v>
      </c>
      <c r="B369" t="str">
        <f>VLOOKUP($A369,Szamlaszamok!$A368:F1924,2,FALSE)</f>
      </c>
      <c r="C369" t="str">
        <f>VLOOKUP($A369,Szamlaszamok!$A368:F1924,3,FALSE)</f>
      </c>
      <c r="D369" t="str">
        <f>VLOOKUP($A369,Szamlaszamok!$A368:F1924,4,FALSE)</f>
      </c>
      <c r="E369" t="str">
        <f>DATE(YEAR(D369),MONTH(D369),DAY(D369))</f>
      </c>
      <c r="F369" t="str">
        <f>CONCATENATE(C369,E369)</f>
      </c>
      <c r="G369" t="str">
        <f>TIMEVALUE(D369)</f>
      </c>
      <c r="H369" t="str">
        <f>COUNTIF(Szamlaszamok!A:A,A369)</f>
      </c>
      <c r="I369" t="str">
        <f>SUMIFS(Szamlaszamok!E:E,Szamlaszamok!A:A,Szamlaszamok_nonduplicate!A369)</f>
      </c>
    </row>
    <row r="370" spans="1:9">
      <c r="A370" t="s">
        <v>1307</v>
      </c>
      <c r="B370" t="str">
        <f>VLOOKUP($A370,Szamlaszamok!$A369:F1925,2,FALSE)</f>
      </c>
      <c r="C370" t="str">
        <f>VLOOKUP($A370,Szamlaszamok!$A369:F1925,3,FALSE)</f>
      </c>
      <c r="D370" t="str">
        <f>VLOOKUP($A370,Szamlaszamok!$A369:F1925,4,FALSE)</f>
      </c>
      <c r="E370" t="str">
        <f>DATE(YEAR(D370),MONTH(D370),DAY(D370))</f>
      </c>
      <c r="F370" t="str">
        <f>CONCATENATE(C370,E370)</f>
      </c>
      <c r="G370" t="str">
        <f>TIMEVALUE(D370)</f>
      </c>
      <c r="H370" t="str">
        <f>COUNTIF(Szamlaszamok!A:A,A370)</f>
      </c>
      <c r="I370" t="str">
        <f>SUMIFS(Szamlaszamok!E:E,Szamlaszamok!A:A,Szamlaszamok_nonduplicate!A370)</f>
      </c>
    </row>
    <row r="371" spans="1:9">
      <c r="A371" t="s">
        <v>1311</v>
      </c>
      <c r="B371" t="str">
        <f>VLOOKUP($A371,Szamlaszamok!$A370:F1926,2,FALSE)</f>
      </c>
      <c r="C371" t="str">
        <f>VLOOKUP($A371,Szamlaszamok!$A370:F1926,3,FALSE)</f>
      </c>
      <c r="D371" t="str">
        <f>VLOOKUP($A371,Szamlaszamok!$A370:F1926,4,FALSE)</f>
      </c>
      <c r="E371" t="str">
        <f>DATE(YEAR(D371),MONTH(D371),DAY(D371))</f>
      </c>
      <c r="F371" t="str">
        <f>CONCATENATE(C371,E371)</f>
      </c>
      <c r="G371" t="str">
        <f>TIMEVALUE(D371)</f>
      </c>
      <c r="H371" t="str">
        <f>COUNTIF(Szamlaszamok!A:A,A371)</f>
      </c>
      <c r="I371" t="str">
        <f>SUMIFS(Szamlaszamok!E:E,Szamlaszamok!A:A,Szamlaszamok_nonduplicate!A371)</f>
      </c>
    </row>
    <row r="372" spans="1:9">
      <c r="A372" t="s">
        <v>1314</v>
      </c>
      <c r="B372" t="str">
        <f>VLOOKUP($A372,Szamlaszamok!$A371:F1927,2,FALSE)</f>
      </c>
      <c r="C372" t="str">
        <f>VLOOKUP($A372,Szamlaszamok!$A371:F1927,3,FALSE)</f>
      </c>
      <c r="D372" t="str">
        <f>VLOOKUP($A372,Szamlaszamok!$A371:F1927,4,FALSE)</f>
      </c>
      <c r="E372" t="str">
        <f>DATE(YEAR(D372),MONTH(D372),DAY(D372))</f>
      </c>
      <c r="F372" t="str">
        <f>CONCATENATE(C372,E372)</f>
      </c>
      <c r="G372" t="str">
        <f>TIMEVALUE(D372)</f>
      </c>
      <c r="H372" t="str">
        <f>COUNTIF(Szamlaszamok!A:A,A372)</f>
      </c>
      <c r="I372" t="str">
        <f>SUMIFS(Szamlaszamok!E:E,Szamlaszamok!A:A,Szamlaszamok_nonduplicate!A372)</f>
      </c>
    </row>
    <row r="373" spans="1:9">
      <c r="A373" t="s">
        <v>1318</v>
      </c>
      <c r="B373" t="str">
        <f>VLOOKUP($A373,Szamlaszamok!$A372:F1928,2,FALSE)</f>
      </c>
      <c r="C373" t="str">
        <f>VLOOKUP($A373,Szamlaszamok!$A372:F1928,3,FALSE)</f>
      </c>
      <c r="D373" t="str">
        <f>VLOOKUP($A373,Szamlaszamok!$A372:F1928,4,FALSE)</f>
      </c>
      <c r="E373" t="str">
        <f>DATE(YEAR(D373),MONTH(D373),DAY(D373))</f>
      </c>
      <c r="F373" t="str">
        <f>CONCATENATE(C373,E373)</f>
      </c>
      <c r="G373" t="str">
        <f>TIMEVALUE(D373)</f>
      </c>
      <c r="H373" t="str">
        <f>COUNTIF(Szamlaszamok!A:A,A373)</f>
      </c>
      <c r="I373" t="str">
        <f>SUMIFS(Szamlaszamok!E:E,Szamlaszamok!A:A,Szamlaszamok_nonduplicate!A373)</f>
      </c>
    </row>
    <row r="374" spans="1:9">
      <c r="A374" t="s">
        <v>1321</v>
      </c>
      <c r="B374" t="str">
        <f>VLOOKUP($A374,Szamlaszamok!$A373:F1929,2,FALSE)</f>
      </c>
      <c r="C374" t="str">
        <f>VLOOKUP($A374,Szamlaszamok!$A373:F1929,3,FALSE)</f>
      </c>
      <c r="D374" t="str">
        <f>VLOOKUP($A374,Szamlaszamok!$A373:F1929,4,FALSE)</f>
      </c>
      <c r="E374" t="str">
        <f>DATE(YEAR(D374),MONTH(D374),DAY(D374))</f>
      </c>
      <c r="F374" t="str">
        <f>CONCATENATE(C374,E374)</f>
      </c>
      <c r="G374" t="str">
        <f>TIMEVALUE(D374)</f>
      </c>
      <c r="H374" t="str">
        <f>COUNTIF(Szamlaszamok!A:A,A374)</f>
      </c>
      <c r="I374" t="str">
        <f>SUMIFS(Szamlaszamok!E:E,Szamlaszamok!A:A,Szamlaszamok_nonduplicate!A374)</f>
      </c>
    </row>
    <row r="375" spans="1:9">
      <c r="A375" t="s">
        <v>1325</v>
      </c>
      <c r="B375" t="str">
        <f>VLOOKUP($A375,Szamlaszamok!$A374:F1930,2,FALSE)</f>
      </c>
      <c r="C375" t="str">
        <f>VLOOKUP($A375,Szamlaszamok!$A374:F1930,3,FALSE)</f>
      </c>
      <c r="D375" t="str">
        <f>VLOOKUP($A375,Szamlaszamok!$A374:F1930,4,FALSE)</f>
      </c>
      <c r="E375" t="str">
        <f>DATE(YEAR(D375),MONTH(D375),DAY(D375))</f>
      </c>
      <c r="F375" t="str">
        <f>CONCATENATE(C375,E375)</f>
      </c>
      <c r="G375" t="str">
        <f>TIMEVALUE(D375)</f>
      </c>
      <c r="H375" t="str">
        <f>COUNTIF(Szamlaszamok!A:A,A375)</f>
      </c>
      <c r="I375" t="str">
        <f>SUMIFS(Szamlaszamok!E:E,Szamlaszamok!A:A,Szamlaszamok_nonduplicate!A375)</f>
      </c>
    </row>
    <row r="376" spans="1:9">
      <c r="A376" t="s">
        <v>1329</v>
      </c>
      <c r="B376" t="str">
        <f>VLOOKUP($A376,Szamlaszamok!$A375:F1931,2,FALSE)</f>
      </c>
      <c r="C376" t="str">
        <f>VLOOKUP($A376,Szamlaszamok!$A375:F1931,3,FALSE)</f>
      </c>
      <c r="D376" t="str">
        <f>VLOOKUP($A376,Szamlaszamok!$A375:F1931,4,FALSE)</f>
      </c>
      <c r="E376" t="str">
        <f>DATE(YEAR(D376),MONTH(D376),DAY(D376))</f>
      </c>
      <c r="F376" t="str">
        <f>CONCATENATE(C376,E376)</f>
      </c>
      <c r="G376" t="str">
        <f>TIMEVALUE(D376)</f>
      </c>
      <c r="H376" t="str">
        <f>COUNTIF(Szamlaszamok!A:A,A376)</f>
      </c>
      <c r="I376" t="str">
        <f>SUMIFS(Szamlaszamok!E:E,Szamlaszamok!A:A,Szamlaszamok_nonduplicate!A376)</f>
      </c>
    </row>
    <row r="377" spans="1:9">
      <c r="A377" t="s">
        <v>1332</v>
      </c>
      <c r="B377" t="str">
        <f>VLOOKUP($A377,Szamlaszamok!$A376:F1932,2,FALSE)</f>
      </c>
      <c r="C377" t="str">
        <f>VLOOKUP($A377,Szamlaszamok!$A376:F1932,3,FALSE)</f>
      </c>
      <c r="D377" t="str">
        <f>VLOOKUP($A377,Szamlaszamok!$A376:F1932,4,FALSE)</f>
      </c>
      <c r="E377" t="str">
        <f>DATE(YEAR(D377),MONTH(D377),DAY(D377))</f>
      </c>
      <c r="F377" t="str">
        <f>CONCATENATE(C377,E377)</f>
      </c>
      <c r="G377" t="str">
        <f>TIMEVALUE(D377)</f>
      </c>
      <c r="H377" t="str">
        <f>COUNTIF(Szamlaszamok!A:A,A377)</f>
      </c>
      <c r="I377" t="str">
        <f>SUMIFS(Szamlaszamok!E:E,Szamlaszamok!A:A,Szamlaszamok_nonduplicate!A377)</f>
      </c>
    </row>
    <row r="378" spans="1:9">
      <c r="A378" t="s">
        <v>1335</v>
      </c>
      <c r="B378" t="str">
        <f>VLOOKUP($A378,Szamlaszamok!$A377:F1933,2,FALSE)</f>
      </c>
      <c r="C378" t="str">
        <f>VLOOKUP($A378,Szamlaszamok!$A377:F1933,3,FALSE)</f>
      </c>
      <c r="D378" t="str">
        <f>VLOOKUP($A378,Szamlaszamok!$A377:F1933,4,FALSE)</f>
      </c>
      <c r="E378" t="str">
        <f>DATE(YEAR(D378),MONTH(D378),DAY(D378))</f>
      </c>
      <c r="F378" t="str">
        <f>CONCATENATE(C378,E378)</f>
      </c>
      <c r="G378" t="str">
        <f>TIMEVALUE(D378)</f>
      </c>
      <c r="H378" t="str">
        <f>COUNTIF(Szamlaszamok!A:A,A378)</f>
      </c>
      <c r="I378" t="str">
        <f>SUMIFS(Szamlaszamok!E:E,Szamlaszamok!A:A,Szamlaszamok_nonduplicate!A378)</f>
      </c>
    </row>
    <row r="379" spans="1:9">
      <c r="A379" t="s">
        <v>1339</v>
      </c>
      <c r="B379" t="str">
        <f>VLOOKUP($A379,Szamlaszamok!$A378:F1934,2,FALSE)</f>
      </c>
      <c r="C379" t="str">
        <f>VLOOKUP($A379,Szamlaszamok!$A378:F1934,3,FALSE)</f>
      </c>
      <c r="D379" t="str">
        <f>VLOOKUP($A379,Szamlaszamok!$A378:F1934,4,FALSE)</f>
      </c>
      <c r="E379" t="str">
        <f>DATE(YEAR(D379),MONTH(D379),DAY(D379))</f>
      </c>
      <c r="F379" t="str">
        <f>CONCATENATE(C379,E379)</f>
      </c>
      <c r="G379" t="str">
        <f>TIMEVALUE(D379)</f>
      </c>
      <c r="H379" t="str">
        <f>COUNTIF(Szamlaszamok!A:A,A379)</f>
      </c>
      <c r="I379" t="str">
        <f>SUMIFS(Szamlaszamok!E:E,Szamlaszamok!A:A,Szamlaszamok_nonduplicate!A379)</f>
      </c>
    </row>
    <row r="380" spans="1:9">
      <c r="A380" t="s">
        <v>1342</v>
      </c>
      <c r="B380" t="str">
        <f>VLOOKUP($A380,Szamlaszamok!$A379:F1935,2,FALSE)</f>
      </c>
      <c r="C380" t="str">
        <f>VLOOKUP($A380,Szamlaszamok!$A379:F1935,3,FALSE)</f>
      </c>
      <c r="D380" t="str">
        <f>VLOOKUP($A380,Szamlaszamok!$A379:F1935,4,FALSE)</f>
      </c>
      <c r="E380" t="str">
        <f>DATE(YEAR(D380),MONTH(D380),DAY(D380))</f>
      </c>
      <c r="F380" t="str">
        <f>CONCATENATE(C380,E380)</f>
      </c>
      <c r="G380" t="str">
        <f>TIMEVALUE(D380)</f>
      </c>
      <c r="H380" t="str">
        <f>COUNTIF(Szamlaszamok!A:A,A380)</f>
      </c>
      <c r="I380" t="str">
        <f>SUMIFS(Szamlaszamok!E:E,Szamlaszamok!A:A,Szamlaszamok_nonduplicate!A380)</f>
      </c>
    </row>
    <row r="381" spans="1:9">
      <c r="A381" t="s">
        <v>1345</v>
      </c>
      <c r="B381" t="str">
        <f>VLOOKUP($A381,Szamlaszamok!$A380:F1936,2,FALSE)</f>
      </c>
      <c r="C381" t="str">
        <f>VLOOKUP($A381,Szamlaszamok!$A380:F1936,3,FALSE)</f>
      </c>
      <c r="D381" t="str">
        <f>VLOOKUP($A381,Szamlaszamok!$A380:F1936,4,FALSE)</f>
      </c>
      <c r="E381" t="str">
        <f>DATE(YEAR(D381),MONTH(D381),DAY(D381))</f>
      </c>
      <c r="F381" t="str">
        <f>CONCATENATE(C381,E381)</f>
      </c>
      <c r="G381" t="str">
        <f>TIMEVALUE(D381)</f>
      </c>
      <c r="H381" t="str">
        <f>COUNTIF(Szamlaszamok!A:A,A381)</f>
      </c>
      <c r="I381" t="str">
        <f>SUMIFS(Szamlaszamok!E:E,Szamlaszamok!A:A,Szamlaszamok_nonduplicate!A381)</f>
      </c>
    </row>
    <row r="382" spans="1:9">
      <c r="A382" t="s">
        <v>1355</v>
      </c>
      <c r="B382" t="str">
        <f>VLOOKUP($A382,Szamlaszamok!$A381:F1937,2,FALSE)</f>
      </c>
      <c r="C382" t="str">
        <f>VLOOKUP($A382,Szamlaszamok!$A381:F1937,3,FALSE)</f>
      </c>
      <c r="D382" t="str">
        <f>VLOOKUP($A382,Szamlaszamok!$A381:F1937,4,FALSE)</f>
      </c>
      <c r="E382" t="str">
        <f>DATE(YEAR(D382),MONTH(D382),DAY(D382))</f>
      </c>
      <c r="F382" t="str">
        <f>CONCATENATE(C382,E382)</f>
      </c>
      <c r="G382" t="str">
        <f>TIMEVALUE(D382)</f>
      </c>
      <c r="H382" t="str">
        <f>COUNTIF(Szamlaszamok!A:A,A382)</f>
      </c>
      <c r="I382" t="str">
        <f>SUMIFS(Szamlaszamok!E:E,Szamlaszamok!A:A,Szamlaszamok_nonduplicate!A382)</f>
      </c>
    </row>
    <row r="383" spans="1:9">
      <c r="A383" t="s">
        <v>1362</v>
      </c>
      <c r="B383" t="str">
        <f>VLOOKUP($A383,Szamlaszamok!$A382:F1938,2,FALSE)</f>
      </c>
      <c r="C383" t="str">
        <f>VLOOKUP($A383,Szamlaszamok!$A382:F1938,3,FALSE)</f>
      </c>
      <c r="D383" t="str">
        <f>VLOOKUP($A383,Szamlaszamok!$A382:F1938,4,FALSE)</f>
      </c>
      <c r="E383" t="str">
        <f>DATE(YEAR(D383),MONTH(D383),DAY(D383))</f>
      </c>
      <c r="F383" t="str">
        <f>CONCATENATE(C383,E383)</f>
      </c>
      <c r="G383" t="str">
        <f>TIMEVALUE(D383)</f>
      </c>
      <c r="H383" t="str">
        <f>COUNTIF(Szamlaszamok!A:A,A383)</f>
      </c>
      <c r="I383" t="str">
        <f>SUMIFS(Szamlaszamok!E:E,Szamlaszamok!A:A,Szamlaszamok_nonduplicate!A383)</f>
      </c>
    </row>
    <row r="384" spans="1:9">
      <c r="A384" t="s">
        <v>1366</v>
      </c>
      <c r="B384" t="str">
        <f>VLOOKUP($A384,Szamlaszamok!$A383:F1939,2,FALSE)</f>
      </c>
      <c r="C384" t="str">
        <f>VLOOKUP($A384,Szamlaszamok!$A383:F1939,3,FALSE)</f>
      </c>
      <c r="D384" t="str">
        <f>VLOOKUP($A384,Szamlaszamok!$A383:F1939,4,FALSE)</f>
      </c>
      <c r="E384" t="str">
        <f>DATE(YEAR(D384),MONTH(D384),DAY(D384))</f>
      </c>
      <c r="F384" t="str">
        <f>CONCATENATE(C384,E384)</f>
      </c>
      <c r="G384" t="str">
        <f>TIMEVALUE(D384)</f>
      </c>
      <c r="H384" t="str">
        <f>COUNTIF(Szamlaszamok!A:A,A384)</f>
      </c>
      <c r="I384" t="str">
        <f>SUMIFS(Szamlaszamok!E:E,Szamlaszamok!A:A,Szamlaszamok_nonduplicate!A384)</f>
      </c>
    </row>
    <row r="385" spans="1:9">
      <c r="A385" t="s">
        <v>1374</v>
      </c>
      <c r="B385" t="str">
        <f>VLOOKUP($A385,Szamlaszamok!$A384:F1940,2,FALSE)</f>
      </c>
      <c r="C385" t="str">
        <f>VLOOKUP($A385,Szamlaszamok!$A384:F1940,3,FALSE)</f>
      </c>
      <c r="D385" t="str">
        <f>VLOOKUP($A385,Szamlaszamok!$A384:F1940,4,FALSE)</f>
      </c>
      <c r="E385" t="str">
        <f>DATE(YEAR(D385),MONTH(D385),DAY(D385))</f>
      </c>
      <c r="F385" t="str">
        <f>CONCATENATE(C385,E385)</f>
      </c>
      <c r="G385" t="str">
        <f>TIMEVALUE(D385)</f>
      </c>
      <c r="H385" t="str">
        <f>COUNTIF(Szamlaszamok!A:A,A385)</f>
      </c>
      <c r="I385" t="str">
        <f>SUMIFS(Szamlaszamok!E:E,Szamlaszamok!A:A,Szamlaszamok_nonduplicate!A385)</f>
      </c>
    </row>
    <row r="386" spans="1:9">
      <c r="A386" t="s">
        <v>1377</v>
      </c>
      <c r="B386" t="str">
        <f>VLOOKUP($A386,Szamlaszamok!$A385:F1941,2,FALSE)</f>
      </c>
      <c r="C386" t="str">
        <f>VLOOKUP($A386,Szamlaszamok!$A385:F1941,3,FALSE)</f>
      </c>
      <c r="D386" t="str">
        <f>VLOOKUP($A386,Szamlaszamok!$A385:F1941,4,FALSE)</f>
      </c>
      <c r="E386" t="str">
        <f>DATE(YEAR(D386),MONTH(D386),DAY(D386))</f>
      </c>
      <c r="F386" t="str">
        <f>CONCATENATE(C386,E386)</f>
      </c>
      <c r="G386" t="str">
        <f>TIMEVALUE(D386)</f>
      </c>
      <c r="H386" t="str">
        <f>COUNTIF(Szamlaszamok!A:A,A386)</f>
      </c>
      <c r="I386" t="str">
        <f>SUMIFS(Szamlaszamok!E:E,Szamlaszamok!A:A,Szamlaszamok_nonduplicate!A386)</f>
      </c>
    </row>
    <row r="387" spans="1:9">
      <c r="A387" t="s">
        <v>1381</v>
      </c>
      <c r="B387" t="str">
        <f>VLOOKUP($A387,Szamlaszamok!$A386:F1942,2,FALSE)</f>
      </c>
      <c r="C387" t="str">
        <f>VLOOKUP($A387,Szamlaszamok!$A386:F1942,3,FALSE)</f>
      </c>
      <c r="D387" t="str">
        <f>VLOOKUP($A387,Szamlaszamok!$A386:F1942,4,FALSE)</f>
      </c>
      <c r="E387" t="str">
        <f>DATE(YEAR(D387),MONTH(D387),DAY(D387))</f>
      </c>
      <c r="F387" t="str">
        <f>CONCATENATE(C387,E387)</f>
      </c>
      <c r="G387" t="str">
        <f>TIMEVALUE(D387)</f>
      </c>
      <c r="H387" t="str">
        <f>COUNTIF(Szamlaszamok!A:A,A387)</f>
      </c>
      <c r="I387" t="str">
        <f>SUMIFS(Szamlaszamok!E:E,Szamlaszamok!A:A,Szamlaszamok_nonduplicate!A387)</f>
      </c>
    </row>
    <row r="388" spans="1:9">
      <c r="A388" t="s">
        <v>1384</v>
      </c>
      <c r="B388" t="str">
        <f>VLOOKUP($A388,Szamlaszamok!$A387:F1943,2,FALSE)</f>
      </c>
      <c r="C388" t="str">
        <f>VLOOKUP($A388,Szamlaszamok!$A387:F1943,3,FALSE)</f>
      </c>
      <c r="D388" t="str">
        <f>VLOOKUP($A388,Szamlaszamok!$A387:F1943,4,FALSE)</f>
      </c>
      <c r="E388" t="str">
        <f>DATE(YEAR(D388),MONTH(D388),DAY(D388))</f>
      </c>
      <c r="F388" t="str">
        <f>CONCATENATE(C388,E388)</f>
      </c>
      <c r="G388" t="str">
        <f>TIMEVALUE(D388)</f>
      </c>
      <c r="H388" t="str">
        <f>COUNTIF(Szamlaszamok!A:A,A388)</f>
      </c>
      <c r="I388" t="str">
        <f>SUMIFS(Szamlaszamok!E:E,Szamlaszamok!A:A,Szamlaszamok_nonduplicate!A388)</f>
      </c>
    </row>
    <row r="389" spans="1:9">
      <c r="A389" t="s">
        <v>1388</v>
      </c>
      <c r="B389" t="str">
        <f>VLOOKUP($A389,Szamlaszamok!$A388:F1944,2,FALSE)</f>
      </c>
      <c r="C389" t="str">
        <f>VLOOKUP($A389,Szamlaszamok!$A388:F1944,3,FALSE)</f>
      </c>
      <c r="D389" t="str">
        <f>VLOOKUP($A389,Szamlaszamok!$A388:F1944,4,FALSE)</f>
      </c>
      <c r="E389" t="str">
        <f>DATE(YEAR(D389),MONTH(D389),DAY(D389))</f>
      </c>
      <c r="F389" t="str">
        <f>CONCATENATE(C389,E389)</f>
      </c>
      <c r="G389" t="str">
        <f>TIMEVALUE(D389)</f>
      </c>
      <c r="H389" t="str">
        <f>COUNTIF(Szamlaszamok!A:A,A389)</f>
      </c>
      <c r="I389" t="str">
        <f>SUMIFS(Szamlaszamok!E:E,Szamlaszamok!A:A,Szamlaszamok_nonduplicate!A389)</f>
      </c>
    </row>
    <row r="390" spans="1:9">
      <c r="A390" t="s">
        <v>1392</v>
      </c>
      <c r="B390" t="str">
        <f>VLOOKUP($A390,Szamlaszamok!$A389:F1945,2,FALSE)</f>
      </c>
      <c r="C390" t="str">
        <f>VLOOKUP($A390,Szamlaszamok!$A389:F1945,3,FALSE)</f>
      </c>
      <c r="D390" t="str">
        <f>VLOOKUP($A390,Szamlaszamok!$A389:F1945,4,FALSE)</f>
      </c>
      <c r="E390" t="str">
        <f>DATE(YEAR(D390),MONTH(D390),DAY(D390))</f>
      </c>
      <c r="F390" t="str">
        <f>CONCATENATE(C390,E390)</f>
      </c>
      <c r="G390" t="str">
        <f>TIMEVALUE(D390)</f>
      </c>
      <c r="H390" t="str">
        <f>COUNTIF(Szamlaszamok!A:A,A390)</f>
      </c>
      <c r="I390" t="str">
        <f>SUMIFS(Szamlaszamok!E:E,Szamlaszamok!A:A,Szamlaszamok_nonduplicate!A390)</f>
      </c>
    </row>
    <row r="391" spans="1:9">
      <c r="A391" t="s">
        <v>1395</v>
      </c>
      <c r="B391" t="str">
        <f>VLOOKUP($A391,Szamlaszamok!$A390:F1946,2,FALSE)</f>
      </c>
      <c r="C391" t="str">
        <f>VLOOKUP($A391,Szamlaszamok!$A390:F1946,3,FALSE)</f>
      </c>
      <c r="D391" t="str">
        <f>VLOOKUP($A391,Szamlaszamok!$A390:F1946,4,FALSE)</f>
      </c>
      <c r="E391" t="str">
        <f>DATE(YEAR(D391),MONTH(D391),DAY(D391))</f>
      </c>
      <c r="F391" t="str">
        <f>CONCATENATE(C391,E391)</f>
      </c>
      <c r="G391" t="str">
        <f>TIMEVALUE(D391)</f>
      </c>
      <c r="H391" t="str">
        <f>COUNTIF(Szamlaszamok!A:A,A391)</f>
      </c>
      <c r="I391" t="str">
        <f>SUMIFS(Szamlaszamok!E:E,Szamlaszamok!A:A,Szamlaszamok_nonduplicate!A391)</f>
      </c>
    </row>
    <row r="392" spans="1:9">
      <c r="A392" t="s">
        <v>1399</v>
      </c>
      <c r="B392" t="str">
        <f>VLOOKUP($A392,Szamlaszamok!$A391:F1947,2,FALSE)</f>
      </c>
      <c r="C392" t="str">
        <f>VLOOKUP($A392,Szamlaszamok!$A391:F1947,3,FALSE)</f>
      </c>
      <c r="D392" t="str">
        <f>VLOOKUP($A392,Szamlaszamok!$A391:F1947,4,FALSE)</f>
      </c>
      <c r="E392" t="str">
        <f>DATE(YEAR(D392),MONTH(D392),DAY(D392))</f>
      </c>
      <c r="F392" t="str">
        <f>CONCATENATE(C392,E392)</f>
      </c>
      <c r="G392" t="str">
        <f>TIMEVALUE(D392)</f>
      </c>
      <c r="H392" t="str">
        <f>COUNTIF(Szamlaszamok!A:A,A392)</f>
      </c>
      <c r="I392" t="str">
        <f>SUMIFS(Szamlaszamok!E:E,Szamlaszamok!A:A,Szamlaszamok_nonduplicate!A392)</f>
      </c>
    </row>
    <row r="393" spans="1:9">
      <c r="A393" t="s">
        <v>1403</v>
      </c>
      <c r="B393" t="str">
        <f>VLOOKUP($A393,Szamlaszamok!$A392:F1948,2,FALSE)</f>
      </c>
      <c r="C393" t="str">
        <f>VLOOKUP($A393,Szamlaszamok!$A392:F1948,3,FALSE)</f>
      </c>
      <c r="D393" t="str">
        <f>VLOOKUP($A393,Szamlaszamok!$A392:F1948,4,FALSE)</f>
      </c>
      <c r="E393" t="str">
        <f>DATE(YEAR(D393),MONTH(D393),DAY(D393))</f>
      </c>
      <c r="F393" t="str">
        <f>CONCATENATE(C393,E393)</f>
      </c>
      <c r="G393" t="str">
        <f>TIMEVALUE(D393)</f>
      </c>
      <c r="H393" t="str">
        <f>COUNTIF(Szamlaszamok!A:A,A393)</f>
      </c>
      <c r="I393" t="str">
        <f>SUMIFS(Szamlaszamok!E:E,Szamlaszamok!A:A,Szamlaszamok_nonduplicate!A393)</f>
      </c>
    </row>
    <row r="394" spans="1:9">
      <c r="A394" t="s">
        <v>1404</v>
      </c>
      <c r="B394" t="str">
        <f>VLOOKUP($A394,Szamlaszamok!$A393:F1949,2,FALSE)</f>
      </c>
      <c r="C394" t="str">
        <f>VLOOKUP($A394,Szamlaszamok!$A393:F1949,3,FALSE)</f>
      </c>
      <c r="D394" t="str">
        <f>VLOOKUP($A394,Szamlaszamok!$A393:F1949,4,FALSE)</f>
      </c>
      <c r="E394" t="str">
        <f>DATE(YEAR(D394),MONTH(D394),DAY(D394))</f>
      </c>
      <c r="F394" t="str">
        <f>CONCATENATE(C394,E394)</f>
      </c>
      <c r="G394" t="str">
        <f>TIMEVALUE(D394)</f>
      </c>
      <c r="H394" t="str">
        <f>COUNTIF(Szamlaszamok!A:A,A394)</f>
      </c>
      <c r="I394" t="str">
        <f>SUMIFS(Szamlaszamok!E:E,Szamlaszamok!A:A,Szamlaszamok_nonduplicate!A394)</f>
      </c>
    </row>
    <row r="395" spans="1:9">
      <c r="A395" t="s">
        <v>1406</v>
      </c>
      <c r="B395" t="str">
        <f>VLOOKUP($A395,Szamlaszamok!$A394:F1950,2,FALSE)</f>
      </c>
      <c r="C395" t="str">
        <f>VLOOKUP($A395,Szamlaszamok!$A394:F1950,3,FALSE)</f>
      </c>
      <c r="D395" t="str">
        <f>VLOOKUP($A395,Szamlaszamok!$A394:F1950,4,FALSE)</f>
      </c>
      <c r="E395" t="str">
        <f>DATE(YEAR(D395),MONTH(D395),DAY(D395))</f>
      </c>
      <c r="F395" t="str">
        <f>CONCATENATE(C395,E395)</f>
      </c>
      <c r="G395" t="str">
        <f>TIMEVALUE(D395)</f>
      </c>
      <c r="H395" t="str">
        <f>COUNTIF(Szamlaszamok!A:A,A395)</f>
      </c>
      <c r="I395" t="str">
        <f>SUMIFS(Szamlaszamok!E:E,Szamlaszamok!A:A,Szamlaszamok_nonduplicate!A395)</f>
      </c>
    </row>
    <row r="396" spans="1:9">
      <c r="A396" t="s">
        <v>1410</v>
      </c>
      <c r="B396" t="str">
        <f>VLOOKUP($A396,Szamlaszamok!$A395:F1951,2,FALSE)</f>
      </c>
      <c r="C396" t="str">
        <f>VLOOKUP($A396,Szamlaszamok!$A395:F1951,3,FALSE)</f>
      </c>
      <c r="D396" t="str">
        <f>VLOOKUP($A396,Szamlaszamok!$A395:F1951,4,FALSE)</f>
      </c>
      <c r="E396" t="str">
        <f>DATE(YEAR(D396),MONTH(D396),DAY(D396))</f>
      </c>
      <c r="F396" t="str">
        <f>CONCATENATE(C396,E396)</f>
      </c>
      <c r="G396" t="str">
        <f>TIMEVALUE(D396)</f>
      </c>
      <c r="H396" t="str">
        <f>COUNTIF(Szamlaszamok!A:A,A396)</f>
      </c>
      <c r="I396" t="str">
        <f>SUMIFS(Szamlaszamok!E:E,Szamlaszamok!A:A,Szamlaszamok_nonduplicate!A396)</f>
      </c>
    </row>
    <row r="397" spans="1:9">
      <c r="A397" t="s">
        <v>1414</v>
      </c>
      <c r="B397" t="str">
        <f>VLOOKUP($A397,Szamlaszamok!$A396:F1952,2,FALSE)</f>
      </c>
      <c r="C397" t="str">
        <f>VLOOKUP($A397,Szamlaszamok!$A396:F1952,3,FALSE)</f>
      </c>
      <c r="D397" t="str">
        <f>VLOOKUP($A397,Szamlaszamok!$A396:F1952,4,FALSE)</f>
      </c>
      <c r="E397" t="str">
        <f>DATE(YEAR(D397),MONTH(D397),DAY(D397))</f>
      </c>
      <c r="F397" t="str">
        <f>CONCATENATE(C397,E397)</f>
      </c>
      <c r="G397" t="str">
        <f>TIMEVALUE(D397)</f>
      </c>
      <c r="H397" t="str">
        <f>COUNTIF(Szamlaszamok!A:A,A397)</f>
      </c>
      <c r="I397" t="str">
        <f>SUMIFS(Szamlaszamok!E:E,Szamlaszamok!A:A,Szamlaszamok_nonduplicate!A397)</f>
      </c>
    </row>
    <row r="398" spans="1:9">
      <c r="A398" t="s">
        <v>1420</v>
      </c>
      <c r="B398" t="str">
        <f>VLOOKUP($A398,Szamlaszamok!$A397:F1953,2,FALSE)</f>
      </c>
      <c r="C398" t="str">
        <f>VLOOKUP($A398,Szamlaszamok!$A397:F1953,3,FALSE)</f>
      </c>
      <c r="D398" t="str">
        <f>VLOOKUP($A398,Szamlaszamok!$A397:F1953,4,FALSE)</f>
      </c>
      <c r="E398" t="str">
        <f>DATE(YEAR(D398),MONTH(D398),DAY(D398))</f>
      </c>
      <c r="F398" t="str">
        <f>CONCATENATE(C398,E398)</f>
      </c>
      <c r="G398" t="str">
        <f>TIMEVALUE(D398)</f>
      </c>
      <c r="H398" t="str">
        <f>COUNTIF(Szamlaszamok!A:A,A398)</f>
      </c>
      <c r="I398" t="str">
        <f>SUMIFS(Szamlaszamok!E:E,Szamlaszamok!A:A,Szamlaszamok_nonduplicate!A398)</f>
      </c>
    </row>
    <row r="399" spans="1:9">
      <c r="A399" t="s">
        <v>1424</v>
      </c>
      <c r="B399" t="str">
        <f>VLOOKUP($A399,Szamlaszamok!$A398:F1954,2,FALSE)</f>
      </c>
      <c r="C399" t="str">
        <f>VLOOKUP($A399,Szamlaszamok!$A398:F1954,3,FALSE)</f>
      </c>
      <c r="D399" t="str">
        <f>VLOOKUP($A399,Szamlaszamok!$A398:F1954,4,FALSE)</f>
      </c>
      <c r="E399" t="str">
        <f>DATE(YEAR(D399),MONTH(D399),DAY(D399))</f>
      </c>
      <c r="F399" t="str">
        <f>CONCATENATE(C399,E399)</f>
      </c>
      <c r="G399" t="str">
        <f>TIMEVALUE(D399)</f>
      </c>
      <c r="H399" t="str">
        <f>COUNTIF(Szamlaszamok!A:A,A399)</f>
      </c>
      <c r="I399" t="str">
        <f>SUMIFS(Szamlaszamok!E:E,Szamlaszamok!A:A,Szamlaszamok_nonduplicate!A399)</f>
      </c>
    </row>
    <row r="400" spans="1:9">
      <c r="A400" t="s">
        <v>1429</v>
      </c>
      <c r="B400" t="str">
        <f>VLOOKUP($A400,Szamlaszamok!$A399:F1955,2,FALSE)</f>
      </c>
      <c r="C400" t="str">
        <f>VLOOKUP($A400,Szamlaszamok!$A399:F1955,3,FALSE)</f>
      </c>
      <c r="D400" t="str">
        <f>VLOOKUP($A400,Szamlaszamok!$A399:F1955,4,FALSE)</f>
      </c>
      <c r="E400" t="str">
        <f>DATE(YEAR(D400),MONTH(D400),DAY(D400))</f>
      </c>
      <c r="F400" t="str">
        <f>CONCATENATE(C400,E400)</f>
      </c>
      <c r="G400" t="str">
        <f>TIMEVALUE(D400)</f>
      </c>
      <c r="H400" t="str">
        <f>COUNTIF(Szamlaszamok!A:A,A400)</f>
      </c>
      <c r="I400" t="str">
        <f>SUMIFS(Szamlaszamok!E:E,Szamlaszamok!A:A,Szamlaszamok_nonduplicate!A400)</f>
      </c>
    </row>
    <row r="401" spans="1:9">
      <c r="A401" t="s">
        <v>1433</v>
      </c>
      <c r="B401" t="str">
        <f>VLOOKUP($A401,Szamlaszamok!$A400:F1956,2,FALSE)</f>
      </c>
      <c r="C401" t="str">
        <f>VLOOKUP($A401,Szamlaszamok!$A400:F1956,3,FALSE)</f>
      </c>
      <c r="D401" t="str">
        <f>VLOOKUP($A401,Szamlaszamok!$A400:F1956,4,FALSE)</f>
      </c>
      <c r="E401" t="str">
        <f>DATE(YEAR(D401),MONTH(D401),DAY(D401))</f>
      </c>
      <c r="F401" t="str">
        <f>CONCATENATE(C401,E401)</f>
      </c>
      <c r="G401" t="str">
        <f>TIMEVALUE(D401)</f>
      </c>
      <c r="H401" t="str">
        <f>COUNTIF(Szamlaszamok!A:A,A401)</f>
      </c>
      <c r="I401" t="str">
        <f>SUMIFS(Szamlaszamok!E:E,Szamlaszamok!A:A,Szamlaszamok_nonduplicate!A401)</f>
      </c>
    </row>
    <row r="402" spans="1:9">
      <c r="A402" t="s">
        <v>1440</v>
      </c>
      <c r="B402" t="str">
        <f>VLOOKUP($A402,Szamlaszamok!$A401:F1957,2,FALSE)</f>
      </c>
      <c r="C402" t="str">
        <f>VLOOKUP($A402,Szamlaszamok!$A401:F1957,3,FALSE)</f>
      </c>
      <c r="D402" t="str">
        <f>VLOOKUP($A402,Szamlaszamok!$A401:F1957,4,FALSE)</f>
      </c>
      <c r="E402" t="str">
        <f>DATE(YEAR(D402),MONTH(D402),DAY(D402))</f>
      </c>
      <c r="F402" t="str">
        <f>CONCATENATE(C402,E402)</f>
      </c>
      <c r="G402" t="str">
        <f>TIMEVALUE(D402)</f>
      </c>
      <c r="H402" t="str">
        <f>COUNTIF(Szamlaszamok!A:A,A402)</f>
      </c>
      <c r="I402" t="str">
        <f>SUMIFS(Szamlaszamok!E:E,Szamlaszamok!A:A,Szamlaszamok_nonduplicate!A402)</f>
      </c>
    </row>
    <row r="403" spans="1:9">
      <c r="A403" t="s">
        <v>1445</v>
      </c>
      <c r="B403" t="str">
        <f>VLOOKUP($A403,Szamlaszamok!$A402:F1958,2,FALSE)</f>
      </c>
      <c r="C403" t="str">
        <f>VLOOKUP($A403,Szamlaszamok!$A402:F1958,3,FALSE)</f>
      </c>
      <c r="D403" t="str">
        <f>VLOOKUP($A403,Szamlaszamok!$A402:F1958,4,FALSE)</f>
      </c>
      <c r="E403" t="str">
        <f>DATE(YEAR(D403),MONTH(D403),DAY(D403))</f>
      </c>
      <c r="F403" t="str">
        <f>CONCATENATE(C403,E403)</f>
      </c>
      <c r="G403" t="str">
        <f>TIMEVALUE(D403)</f>
      </c>
      <c r="H403" t="str">
        <f>COUNTIF(Szamlaszamok!A:A,A403)</f>
      </c>
      <c r="I403" t="str">
        <f>SUMIFS(Szamlaszamok!E:E,Szamlaszamok!A:A,Szamlaszamok_nonduplicate!A403)</f>
      </c>
    </row>
    <row r="404" spans="1:9">
      <c r="A404" t="s">
        <v>1448</v>
      </c>
      <c r="B404" t="str">
        <f>VLOOKUP($A404,Szamlaszamok!$A403:F1959,2,FALSE)</f>
      </c>
      <c r="C404" t="str">
        <f>VLOOKUP($A404,Szamlaszamok!$A403:F1959,3,FALSE)</f>
      </c>
      <c r="D404" t="str">
        <f>VLOOKUP($A404,Szamlaszamok!$A403:F1959,4,FALSE)</f>
      </c>
      <c r="E404" t="str">
        <f>DATE(YEAR(D404),MONTH(D404),DAY(D404))</f>
      </c>
      <c r="F404" t="str">
        <f>CONCATENATE(C404,E404)</f>
      </c>
      <c r="G404" t="str">
        <f>TIMEVALUE(D404)</f>
      </c>
      <c r="H404" t="str">
        <f>COUNTIF(Szamlaszamok!A:A,A404)</f>
      </c>
      <c r="I404" t="str">
        <f>SUMIFS(Szamlaszamok!E:E,Szamlaszamok!A:A,Szamlaszamok_nonduplicate!A404)</f>
      </c>
    </row>
    <row r="405" spans="1:9">
      <c r="A405" t="s">
        <v>1453</v>
      </c>
      <c r="B405" t="str">
        <f>VLOOKUP($A405,Szamlaszamok!$A404:F1960,2,FALSE)</f>
      </c>
      <c r="C405" t="str">
        <f>VLOOKUP($A405,Szamlaszamok!$A404:F1960,3,FALSE)</f>
      </c>
      <c r="D405" t="str">
        <f>VLOOKUP($A405,Szamlaszamok!$A404:F1960,4,FALSE)</f>
      </c>
      <c r="E405" t="str">
        <f>DATE(YEAR(D405),MONTH(D405),DAY(D405))</f>
      </c>
      <c r="F405" t="str">
        <f>CONCATENATE(C405,E405)</f>
      </c>
      <c r="G405" t="str">
        <f>TIMEVALUE(D405)</f>
      </c>
      <c r="H405" t="str">
        <f>COUNTIF(Szamlaszamok!A:A,A405)</f>
      </c>
      <c r="I405" t="str">
        <f>SUMIFS(Szamlaszamok!E:E,Szamlaszamok!A:A,Szamlaszamok_nonduplicate!A405)</f>
      </c>
    </row>
    <row r="406" spans="1:9">
      <c r="A406" t="s">
        <v>1457</v>
      </c>
      <c r="B406" t="str">
        <f>VLOOKUP($A406,Szamlaszamok!$A405:F1961,2,FALSE)</f>
      </c>
      <c r="C406" t="str">
        <f>VLOOKUP($A406,Szamlaszamok!$A405:F1961,3,FALSE)</f>
      </c>
      <c r="D406" t="str">
        <f>VLOOKUP($A406,Szamlaszamok!$A405:F1961,4,FALSE)</f>
      </c>
      <c r="E406" t="str">
        <f>DATE(YEAR(D406),MONTH(D406),DAY(D406))</f>
      </c>
      <c r="F406" t="str">
        <f>CONCATENATE(C406,E406)</f>
      </c>
      <c r="G406" t="str">
        <f>TIMEVALUE(D406)</f>
      </c>
      <c r="H406" t="str">
        <f>COUNTIF(Szamlaszamok!A:A,A406)</f>
      </c>
      <c r="I406" t="str">
        <f>SUMIFS(Szamlaszamok!E:E,Szamlaszamok!A:A,Szamlaszamok_nonduplicate!A406)</f>
      </c>
    </row>
    <row r="407" spans="1:9">
      <c r="A407" t="s">
        <v>1460</v>
      </c>
      <c r="B407" t="str">
        <f>VLOOKUP($A407,Szamlaszamok!$A406:F1962,2,FALSE)</f>
      </c>
      <c r="C407" t="str">
        <f>VLOOKUP($A407,Szamlaszamok!$A406:F1962,3,FALSE)</f>
      </c>
      <c r="D407" t="str">
        <f>VLOOKUP($A407,Szamlaszamok!$A406:F1962,4,FALSE)</f>
      </c>
      <c r="E407" t="str">
        <f>DATE(YEAR(D407),MONTH(D407),DAY(D407))</f>
      </c>
      <c r="F407" t="str">
        <f>CONCATENATE(C407,E407)</f>
      </c>
      <c r="G407" t="str">
        <f>TIMEVALUE(D407)</f>
      </c>
      <c r="H407" t="str">
        <f>COUNTIF(Szamlaszamok!A:A,A407)</f>
      </c>
      <c r="I407" t="str">
        <f>SUMIFS(Szamlaszamok!E:E,Szamlaszamok!A:A,Szamlaszamok_nonduplicate!A407)</f>
      </c>
    </row>
    <row r="408" spans="1:9">
      <c r="A408" t="s">
        <v>1464</v>
      </c>
      <c r="B408" t="str">
        <f>VLOOKUP($A408,Szamlaszamok!$A407:F1963,2,FALSE)</f>
      </c>
      <c r="C408" t="str">
        <f>VLOOKUP($A408,Szamlaszamok!$A407:F1963,3,FALSE)</f>
      </c>
      <c r="D408" t="str">
        <f>VLOOKUP($A408,Szamlaszamok!$A407:F1963,4,FALSE)</f>
      </c>
      <c r="E408" t="str">
        <f>DATE(YEAR(D408),MONTH(D408),DAY(D408))</f>
      </c>
      <c r="F408" t="str">
        <f>CONCATENATE(C408,E408)</f>
      </c>
      <c r="G408" t="str">
        <f>TIMEVALUE(D408)</f>
      </c>
      <c r="H408" t="str">
        <f>COUNTIF(Szamlaszamok!A:A,A408)</f>
      </c>
      <c r="I408" t="str">
        <f>SUMIFS(Szamlaszamok!E:E,Szamlaszamok!A:A,Szamlaszamok_nonduplicate!A408)</f>
      </c>
    </row>
    <row r="409" spans="1:9">
      <c r="A409" t="s">
        <v>1469</v>
      </c>
      <c r="B409" t="str">
        <f>VLOOKUP($A409,Szamlaszamok!$A408:F1964,2,FALSE)</f>
      </c>
      <c r="C409" t="str">
        <f>VLOOKUP($A409,Szamlaszamok!$A408:F1964,3,FALSE)</f>
      </c>
      <c r="D409" t="str">
        <f>VLOOKUP($A409,Szamlaszamok!$A408:F1964,4,FALSE)</f>
      </c>
      <c r="E409" t="str">
        <f>DATE(YEAR(D409),MONTH(D409),DAY(D409))</f>
      </c>
      <c r="F409" t="str">
        <f>CONCATENATE(C409,E409)</f>
      </c>
      <c r="G409" t="str">
        <f>TIMEVALUE(D409)</f>
      </c>
      <c r="H409" t="str">
        <f>COUNTIF(Szamlaszamok!A:A,A409)</f>
      </c>
      <c r="I409" t="str">
        <f>SUMIFS(Szamlaszamok!E:E,Szamlaszamok!A:A,Szamlaszamok_nonduplicate!A409)</f>
      </c>
    </row>
    <row r="410" spans="1:9">
      <c r="A410" t="s">
        <v>1474</v>
      </c>
      <c r="B410" t="str">
        <f>VLOOKUP($A410,Szamlaszamok!$A409:F1965,2,FALSE)</f>
      </c>
      <c r="C410" t="str">
        <f>VLOOKUP($A410,Szamlaszamok!$A409:F1965,3,FALSE)</f>
      </c>
      <c r="D410" t="str">
        <f>VLOOKUP($A410,Szamlaszamok!$A409:F1965,4,FALSE)</f>
      </c>
      <c r="E410" t="str">
        <f>DATE(YEAR(D410),MONTH(D410),DAY(D410))</f>
      </c>
      <c r="F410" t="str">
        <f>CONCATENATE(C410,E410)</f>
      </c>
      <c r="G410" t="str">
        <f>TIMEVALUE(D410)</f>
      </c>
      <c r="H410" t="str">
        <f>COUNTIF(Szamlaszamok!A:A,A410)</f>
      </c>
      <c r="I410" t="str">
        <f>SUMIFS(Szamlaszamok!E:E,Szamlaszamok!A:A,Szamlaszamok_nonduplicate!A410)</f>
      </c>
    </row>
    <row r="411" spans="1:9">
      <c r="A411" t="s">
        <v>1479</v>
      </c>
      <c r="B411" t="str">
        <f>VLOOKUP($A411,Szamlaszamok!$A410:F1966,2,FALSE)</f>
      </c>
      <c r="C411" t="str">
        <f>VLOOKUP($A411,Szamlaszamok!$A410:F1966,3,FALSE)</f>
      </c>
      <c r="D411" t="str">
        <f>VLOOKUP($A411,Szamlaszamok!$A410:F1966,4,FALSE)</f>
      </c>
      <c r="E411" t="str">
        <f>DATE(YEAR(D411),MONTH(D411),DAY(D411))</f>
      </c>
      <c r="F411" t="str">
        <f>CONCATENATE(C411,E411)</f>
      </c>
      <c r="G411" t="str">
        <f>TIMEVALUE(D411)</f>
      </c>
      <c r="H411" t="str">
        <f>COUNTIF(Szamlaszamok!A:A,A411)</f>
      </c>
      <c r="I411" t="str">
        <f>SUMIFS(Szamlaszamok!E:E,Szamlaszamok!A:A,Szamlaszamok_nonduplicate!A411)</f>
      </c>
    </row>
    <row r="412" spans="1:9">
      <c r="A412" t="s">
        <v>1483</v>
      </c>
      <c r="B412" t="str">
        <f>VLOOKUP($A412,Szamlaszamok!$A411:F1967,2,FALSE)</f>
      </c>
      <c r="C412" t="str">
        <f>VLOOKUP($A412,Szamlaszamok!$A411:F1967,3,FALSE)</f>
      </c>
      <c r="D412" t="str">
        <f>VLOOKUP($A412,Szamlaszamok!$A411:F1967,4,FALSE)</f>
      </c>
      <c r="E412" t="str">
        <f>DATE(YEAR(D412),MONTH(D412),DAY(D412))</f>
      </c>
      <c r="F412" t="str">
        <f>CONCATENATE(C412,E412)</f>
      </c>
      <c r="G412" t="str">
        <f>TIMEVALUE(D412)</f>
      </c>
      <c r="H412" t="str">
        <f>COUNTIF(Szamlaszamok!A:A,A412)</f>
      </c>
      <c r="I412" t="str">
        <f>SUMIFS(Szamlaszamok!E:E,Szamlaszamok!A:A,Szamlaszamok_nonduplicate!A412)</f>
      </c>
    </row>
    <row r="413" spans="1:9">
      <c r="A413" t="s">
        <v>1486</v>
      </c>
      <c r="B413" t="str">
        <f>VLOOKUP($A413,Szamlaszamok!$A412:F1968,2,FALSE)</f>
      </c>
      <c r="C413" t="str">
        <f>VLOOKUP($A413,Szamlaszamok!$A412:F1968,3,FALSE)</f>
      </c>
      <c r="D413" t="str">
        <f>VLOOKUP($A413,Szamlaszamok!$A412:F1968,4,FALSE)</f>
      </c>
      <c r="E413" t="str">
        <f>DATE(YEAR(D413),MONTH(D413),DAY(D413))</f>
      </c>
      <c r="F413" t="str">
        <f>CONCATENATE(C413,E413)</f>
      </c>
      <c r="G413" t="str">
        <f>TIMEVALUE(D413)</f>
      </c>
      <c r="H413" t="str">
        <f>COUNTIF(Szamlaszamok!A:A,A413)</f>
      </c>
      <c r="I413" t="str">
        <f>SUMIFS(Szamlaszamok!E:E,Szamlaszamok!A:A,Szamlaszamok_nonduplicate!A413)</f>
      </c>
    </row>
    <row r="414" spans="1:9">
      <c r="A414" t="s">
        <v>1490</v>
      </c>
      <c r="B414" t="str">
        <f>VLOOKUP($A414,Szamlaszamok!$A413:F1969,2,FALSE)</f>
      </c>
      <c r="C414" t="str">
        <f>VLOOKUP($A414,Szamlaszamok!$A413:F1969,3,FALSE)</f>
      </c>
      <c r="D414" t="str">
        <f>VLOOKUP($A414,Szamlaszamok!$A413:F1969,4,FALSE)</f>
      </c>
      <c r="E414" t="str">
        <f>DATE(YEAR(D414),MONTH(D414),DAY(D414))</f>
      </c>
      <c r="F414" t="str">
        <f>CONCATENATE(C414,E414)</f>
      </c>
      <c r="G414" t="str">
        <f>TIMEVALUE(D414)</f>
      </c>
      <c r="H414" t="str">
        <f>COUNTIF(Szamlaszamok!A:A,A414)</f>
      </c>
      <c r="I414" t="str">
        <f>SUMIFS(Szamlaszamok!E:E,Szamlaszamok!A:A,Szamlaszamok_nonduplicate!A414)</f>
      </c>
    </row>
    <row r="415" spans="1:9">
      <c r="A415" t="s">
        <v>1494</v>
      </c>
      <c r="B415" t="str">
        <f>VLOOKUP($A415,Szamlaszamok!$A414:F1970,2,FALSE)</f>
      </c>
      <c r="C415" t="str">
        <f>VLOOKUP($A415,Szamlaszamok!$A414:F1970,3,FALSE)</f>
      </c>
      <c r="D415" t="str">
        <f>VLOOKUP($A415,Szamlaszamok!$A414:F1970,4,FALSE)</f>
      </c>
      <c r="E415" t="str">
        <f>DATE(YEAR(D415),MONTH(D415),DAY(D415))</f>
      </c>
      <c r="F415" t="str">
        <f>CONCATENATE(C415,E415)</f>
      </c>
      <c r="G415" t="str">
        <f>TIMEVALUE(D415)</f>
      </c>
      <c r="H415" t="str">
        <f>COUNTIF(Szamlaszamok!A:A,A415)</f>
      </c>
      <c r="I415" t="str">
        <f>SUMIFS(Szamlaszamok!E:E,Szamlaszamok!A:A,Szamlaszamok_nonduplicate!A415)</f>
      </c>
    </row>
    <row r="416" spans="1:9">
      <c r="A416" t="s">
        <v>1498</v>
      </c>
      <c r="B416" t="str">
        <f>VLOOKUP($A416,Szamlaszamok!$A415:F1971,2,FALSE)</f>
      </c>
      <c r="C416" t="str">
        <f>VLOOKUP($A416,Szamlaszamok!$A415:F1971,3,FALSE)</f>
      </c>
      <c r="D416" t="str">
        <f>VLOOKUP($A416,Szamlaszamok!$A415:F1971,4,FALSE)</f>
      </c>
      <c r="E416" t="str">
        <f>DATE(YEAR(D416),MONTH(D416),DAY(D416))</f>
      </c>
      <c r="F416" t="str">
        <f>CONCATENATE(C416,E416)</f>
      </c>
      <c r="G416" t="str">
        <f>TIMEVALUE(D416)</f>
      </c>
      <c r="H416" t="str">
        <f>COUNTIF(Szamlaszamok!A:A,A416)</f>
      </c>
      <c r="I416" t="str">
        <f>SUMIFS(Szamlaszamok!E:E,Szamlaszamok!A:A,Szamlaszamok_nonduplicate!A416)</f>
      </c>
    </row>
    <row r="417" spans="1:9">
      <c r="A417" t="s">
        <v>1502</v>
      </c>
      <c r="B417" t="str">
        <f>VLOOKUP($A417,Szamlaszamok!$A416:F1972,2,FALSE)</f>
      </c>
      <c r="C417" t="str">
        <f>VLOOKUP($A417,Szamlaszamok!$A416:F1972,3,FALSE)</f>
      </c>
      <c r="D417" t="str">
        <f>VLOOKUP($A417,Szamlaszamok!$A416:F1972,4,FALSE)</f>
      </c>
      <c r="E417" t="str">
        <f>DATE(YEAR(D417),MONTH(D417),DAY(D417))</f>
      </c>
      <c r="F417" t="str">
        <f>CONCATENATE(C417,E417)</f>
      </c>
      <c r="G417" t="str">
        <f>TIMEVALUE(D417)</f>
      </c>
      <c r="H417" t="str">
        <f>COUNTIF(Szamlaszamok!A:A,A417)</f>
      </c>
      <c r="I417" t="str">
        <f>SUMIFS(Szamlaszamok!E:E,Szamlaszamok!A:A,Szamlaszamok_nonduplicate!A417)</f>
      </c>
    </row>
    <row r="418" spans="1:9">
      <c r="A418" t="s">
        <v>1506</v>
      </c>
      <c r="B418" t="str">
        <f>VLOOKUP($A418,Szamlaszamok!$A417:F1973,2,FALSE)</f>
      </c>
      <c r="C418" t="str">
        <f>VLOOKUP($A418,Szamlaszamok!$A417:F1973,3,FALSE)</f>
      </c>
      <c r="D418" t="str">
        <f>VLOOKUP($A418,Szamlaszamok!$A417:F1973,4,FALSE)</f>
      </c>
      <c r="E418" t="str">
        <f>DATE(YEAR(D418),MONTH(D418),DAY(D418))</f>
      </c>
      <c r="F418" t="str">
        <f>CONCATENATE(C418,E418)</f>
      </c>
      <c r="G418" t="str">
        <f>TIMEVALUE(D418)</f>
      </c>
      <c r="H418" t="str">
        <f>COUNTIF(Szamlaszamok!A:A,A418)</f>
      </c>
      <c r="I418" t="str">
        <f>SUMIFS(Szamlaszamok!E:E,Szamlaszamok!A:A,Szamlaszamok_nonduplicate!A418)</f>
      </c>
    </row>
    <row r="419" spans="1:9">
      <c r="A419" t="s">
        <v>1509</v>
      </c>
      <c r="B419" t="str">
        <f>VLOOKUP($A419,Szamlaszamok!$A418:F1974,2,FALSE)</f>
      </c>
      <c r="C419" t="str">
        <f>VLOOKUP($A419,Szamlaszamok!$A418:F1974,3,FALSE)</f>
      </c>
      <c r="D419" t="str">
        <f>VLOOKUP($A419,Szamlaszamok!$A418:F1974,4,FALSE)</f>
      </c>
      <c r="E419" t="str">
        <f>DATE(YEAR(D419),MONTH(D419),DAY(D419))</f>
      </c>
      <c r="F419" t="str">
        <f>CONCATENATE(C419,E419)</f>
      </c>
      <c r="G419" t="str">
        <f>TIMEVALUE(D419)</f>
      </c>
      <c r="H419" t="str">
        <f>COUNTIF(Szamlaszamok!A:A,A419)</f>
      </c>
      <c r="I419" t="str">
        <f>SUMIFS(Szamlaszamok!E:E,Szamlaszamok!A:A,Szamlaszamok_nonduplicate!A419)</f>
      </c>
    </row>
    <row r="420" spans="1:9">
      <c r="A420" t="s">
        <v>1513</v>
      </c>
      <c r="B420" t="str">
        <f>VLOOKUP($A420,Szamlaszamok!$A419:F1975,2,FALSE)</f>
      </c>
      <c r="C420" t="str">
        <f>VLOOKUP($A420,Szamlaszamok!$A419:F1975,3,FALSE)</f>
      </c>
      <c r="D420" t="str">
        <f>VLOOKUP($A420,Szamlaszamok!$A419:F1975,4,FALSE)</f>
      </c>
      <c r="E420" t="str">
        <f>DATE(YEAR(D420),MONTH(D420),DAY(D420))</f>
      </c>
      <c r="F420" t="str">
        <f>CONCATENATE(C420,E420)</f>
      </c>
      <c r="G420" t="str">
        <f>TIMEVALUE(D420)</f>
      </c>
      <c r="H420" t="str">
        <f>COUNTIF(Szamlaszamok!A:A,A420)</f>
      </c>
      <c r="I420" t="str">
        <f>SUMIFS(Szamlaszamok!E:E,Szamlaszamok!A:A,Szamlaszamok_nonduplicate!A420)</f>
      </c>
    </row>
    <row r="421" spans="1:9">
      <c r="A421" t="s">
        <v>1517</v>
      </c>
      <c r="B421" t="str">
        <f>VLOOKUP($A421,Szamlaszamok!$A420:F1976,2,FALSE)</f>
      </c>
      <c r="C421" t="str">
        <f>VLOOKUP($A421,Szamlaszamok!$A420:F1976,3,FALSE)</f>
      </c>
      <c r="D421" t="str">
        <f>VLOOKUP($A421,Szamlaszamok!$A420:F1976,4,FALSE)</f>
      </c>
      <c r="E421" t="str">
        <f>DATE(YEAR(D421),MONTH(D421),DAY(D421))</f>
      </c>
      <c r="F421" t="str">
        <f>CONCATENATE(C421,E421)</f>
      </c>
      <c r="G421" t="str">
        <f>TIMEVALUE(D421)</f>
      </c>
      <c r="H421" t="str">
        <f>COUNTIF(Szamlaszamok!A:A,A421)</f>
      </c>
      <c r="I421" t="str">
        <f>SUMIFS(Szamlaszamok!E:E,Szamlaszamok!A:A,Szamlaszamok_nonduplicate!A421)</f>
      </c>
    </row>
    <row r="422" spans="1:9">
      <c r="A422" t="s">
        <v>1521</v>
      </c>
      <c r="B422" t="str">
        <f>VLOOKUP($A422,Szamlaszamok!$A421:F1977,2,FALSE)</f>
      </c>
      <c r="C422" t="str">
        <f>VLOOKUP($A422,Szamlaszamok!$A421:F1977,3,FALSE)</f>
      </c>
      <c r="D422" t="str">
        <f>VLOOKUP($A422,Szamlaszamok!$A421:F1977,4,FALSE)</f>
      </c>
      <c r="E422" t="str">
        <f>DATE(YEAR(D422),MONTH(D422),DAY(D422))</f>
      </c>
      <c r="F422" t="str">
        <f>CONCATENATE(C422,E422)</f>
      </c>
      <c r="G422" t="str">
        <f>TIMEVALUE(D422)</f>
      </c>
      <c r="H422" t="str">
        <f>COUNTIF(Szamlaszamok!A:A,A422)</f>
      </c>
      <c r="I422" t="str">
        <f>SUMIFS(Szamlaszamok!E:E,Szamlaszamok!A:A,Szamlaszamok_nonduplicate!A422)</f>
      </c>
    </row>
    <row r="423" spans="1:9">
      <c r="A423" t="s">
        <v>1525</v>
      </c>
      <c r="B423" t="str">
        <f>VLOOKUP($A423,Szamlaszamok!$A422:F1978,2,FALSE)</f>
      </c>
      <c r="C423" t="str">
        <f>VLOOKUP($A423,Szamlaszamok!$A422:F1978,3,FALSE)</f>
      </c>
      <c r="D423" t="str">
        <f>VLOOKUP($A423,Szamlaszamok!$A422:F1978,4,FALSE)</f>
      </c>
      <c r="E423" t="str">
        <f>DATE(YEAR(D423),MONTH(D423),DAY(D423))</f>
      </c>
      <c r="F423" t="str">
        <f>CONCATENATE(C423,E423)</f>
      </c>
      <c r="G423" t="str">
        <f>TIMEVALUE(D423)</f>
      </c>
      <c r="H423" t="str">
        <f>COUNTIF(Szamlaszamok!A:A,A423)</f>
      </c>
      <c r="I423" t="str">
        <f>SUMIFS(Szamlaszamok!E:E,Szamlaszamok!A:A,Szamlaszamok_nonduplicate!A423)</f>
      </c>
    </row>
    <row r="424" spans="1:9">
      <c r="A424" t="s">
        <v>1529</v>
      </c>
      <c r="B424" t="str">
        <f>VLOOKUP($A424,Szamlaszamok!$A423:F1979,2,FALSE)</f>
      </c>
      <c r="C424" t="str">
        <f>VLOOKUP($A424,Szamlaszamok!$A423:F1979,3,FALSE)</f>
      </c>
      <c r="D424" t="str">
        <f>VLOOKUP($A424,Szamlaszamok!$A423:F1979,4,FALSE)</f>
      </c>
      <c r="E424" t="str">
        <f>DATE(YEAR(D424),MONTH(D424),DAY(D424))</f>
      </c>
      <c r="F424" t="str">
        <f>CONCATENATE(C424,E424)</f>
      </c>
      <c r="G424" t="str">
        <f>TIMEVALUE(D424)</f>
      </c>
      <c r="H424" t="str">
        <f>COUNTIF(Szamlaszamok!A:A,A424)</f>
      </c>
      <c r="I424" t="str">
        <f>SUMIFS(Szamlaszamok!E:E,Szamlaszamok!A:A,Szamlaszamok_nonduplicate!A424)</f>
      </c>
    </row>
    <row r="425" spans="1:9">
      <c r="A425" t="s">
        <v>1533</v>
      </c>
      <c r="B425" t="str">
        <f>VLOOKUP($A425,Szamlaszamok!$A424:F1980,2,FALSE)</f>
      </c>
      <c r="C425" t="str">
        <f>VLOOKUP($A425,Szamlaszamok!$A424:F1980,3,FALSE)</f>
      </c>
      <c r="D425" t="str">
        <f>VLOOKUP($A425,Szamlaszamok!$A424:F1980,4,FALSE)</f>
      </c>
      <c r="E425" t="str">
        <f>DATE(YEAR(D425),MONTH(D425),DAY(D425))</f>
      </c>
      <c r="F425" t="str">
        <f>CONCATENATE(C425,E425)</f>
      </c>
      <c r="G425" t="str">
        <f>TIMEVALUE(D425)</f>
      </c>
      <c r="H425" t="str">
        <f>COUNTIF(Szamlaszamok!A:A,A425)</f>
      </c>
      <c r="I425" t="str">
        <f>SUMIFS(Szamlaszamok!E:E,Szamlaszamok!A:A,Szamlaszamok_nonduplicate!A425)</f>
      </c>
    </row>
    <row r="426" spans="1:9">
      <c r="A426" t="s">
        <v>1537</v>
      </c>
      <c r="B426" t="str">
        <f>VLOOKUP($A426,Szamlaszamok!$A425:F1981,2,FALSE)</f>
      </c>
      <c r="C426" t="str">
        <f>VLOOKUP($A426,Szamlaszamok!$A425:F1981,3,FALSE)</f>
      </c>
      <c r="D426" t="str">
        <f>VLOOKUP($A426,Szamlaszamok!$A425:F1981,4,FALSE)</f>
      </c>
      <c r="E426" t="str">
        <f>DATE(YEAR(D426),MONTH(D426),DAY(D426))</f>
      </c>
      <c r="F426" t="str">
        <f>CONCATENATE(C426,E426)</f>
      </c>
      <c r="G426" t="str">
        <f>TIMEVALUE(D426)</f>
      </c>
      <c r="H426" t="str">
        <f>COUNTIF(Szamlaszamok!A:A,A426)</f>
      </c>
      <c r="I426" t="str">
        <f>SUMIFS(Szamlaszamok!E:E,Szamlaszamok!A:A,Szamlaszamok_nonduplicate!A426)</f>
      </c>
    </row>
    <row r="427" spans="1:9">
      <c r="A427" t="s">
        <v>1542</v>
      </c>
      <c r="B427" t="str">
        <f>VLOOKUP($A427,Szamlaszamok!$A426:F1982,2,FALSE)</f>
      </c>
      <c r="C427" t="str">
        <f>VLOOKUP($A427,Szamlaszamok!$A426:F1982,3,FALSE)</f>
      </c>
      <c r="D427" t="str">
        <f>VLOOKUP($A427,Szamlaszamok!$A426:F1982,4,FALSE)</f>
      </c>
      <c r="E427" t="str">
        <f>DATE(YEAR(D427),MONTH(D427),DAY(D427))</f>
      </c>
      <c r="F427" t="str">
        <f>CONCATENATE(C427,E427)</f>
      </c>
      <c r="G427" t="str">
        <f>TIMEVALUE(D427)</f>
      </c>
      <c r="H427" t="str">
        <f>COUNTIF(Szamlaszamok!A:A,A427)</f>
      </c>
      <c r="I427" t="str">
        <f>SUMIFS(Szamlaszamok!E:E,Szamlaszamok!A:A,Szamlaszamok_nonduplicate!A427)</f>
      </c>
    </row>
    <row r="428" spans="1:9">
      <c r="A428" t="s">
        <v>1546</v>
      </c>
      <c r="B428" t="str">
        <f>VLOOKUP($A428,Szamlaszamok!$A427:F1983,2,FALSE)</f>
      </c>
      <c r="C428" t="str">
        <f>VLOOKUP($A428,Szamlaszamok!$A427:F1983,3,FALSE)</f>
      </c>
      <c r="D428" t="str">
        <f>VLOOKUP($A428,Szamlaszamok!$A427:F1983,4,FALSE)</f>
      </c>
      <c r="E428" t="str">
        <f>DATE(YEAR(D428),MONTH(D428),DAY(D428))</f>
      </c>
      <c r="F428" t="str">
        <f>CONCATENATE(C428,E428)</f>
      </c>
      <c r="G428" t="str">
        <f>TIMEVALUE(D428)</f>
      </c>
      <c r="H428" t="str">
        <f>COUNTIF(Szamlaszamok!A:A,A428)</f>
      </c>
      <c r="I428" t="str">
        <f>SUMIFS(Szamlaszamok!E:E,Szamlaszamok!A:A,Szamlaszamok_nonduplicate!A428)</f>
      </c>
    </row>
    <row r="429" spans="1:9">
      <c r="A429" t="s">
        <v>1550</v>
      </c>
      <c r="B429" t="str">
        <f>VLOOKUP($A429,Szamlaszamok!$A428:F1984,2,FALSE)</f>
      </c>
      <c r="C429" t="str">
        <f>VLOOKUP($A429,Szamlaszamok!$A428:F1984,3,FALSE)</f>
      </c>
      <c r="D429" t="str">
        <f>VLOOKUP($A429,Szamlaszamok!$A428:F1984,4,FALSE)</f>
      </c>
      <c r="E429" t="str">
        <f>DATE(YEAR(D429),MONTH(D429),DAY(D429))</f>
      </c>
      <c r="F429" t="str">
        <f>CONCATENATE(C429,E429)</f>
      </c>
      <c r="G429" t="str">
        <f>TIMEVALUE(D429)</f>
      </c>
      <c r="H429" t="str">
        <f>COUNTIF(Szamlaszamok!A:A,A429)</f>
      </c>
      <c r="I429" t="str">
        <f>SUMIFS(Szamlaszamok!E:E,Szamlaszamok!A:A,Szamlaszamok_nonduplicate!A429)</f>
      </c>
    </row>
    <row r="430" spans="1:9">
      <c r="A430" t="s">
        <v>1554</v>
      </c>
      <c r="B430" t="str">
        <f>VLOOKUP($A430,Szamlaszamok!$A429:F1985,2,FALSE)</f>
      </c>
      <c r="C430" t="str">
        <f>VLOOKUP($A430,Szamlaszamok!$A429:F1985,3,FALSE)</f>
      </c>
      <c r="D430" t="str">
        <f>VLOOKUP($A430,Szamlaszamok!$A429:F1985,4,FALSE)</f>
      </c>
      <c r="E430" t="str">
        <f>DATE(YEAR(D430),MONTH(D430),DAY(D430))</f>
      </c>
      <c r="F430" t="str">
        <f>CONCATENATE(C430,E430)</f>
      </c>
      <c r="G430" t="str">
        <f>TIMEVALUE(D430)</f>
      </c>
      <c r="H430" t="str">
        <f>COUNTIF(Szamlaszamok!A:A,A430)</f>
      </c>
      <c r="I430" t="str">
        <f>SUMIFS(Szamlaszamok!E:E,Szamlaszamok!A:A,Szamlaszamok_nonduplicate!A430)</f>
      </c>
    </row>
    <row r="431" spans="1:9">
      <c r="A431" t="s">
        <v>1558</v>
      </c>
      <c r="B431" t="str">
        <f>VLOOKUP($A431,Szamlaszamok!$A430:F1986,2,FALSE)</f>
      </c>
      <c r="C431" t="str">
        <f>VLOOKUP($A431,Szamlaszamok!$A430:F1986,3,FALSE)</f>
      </c>
      <c r="D431" t="str">
        <f>VLOOKUP($A431,Szamlaszamok!$A430:F1986,4,FALSE)</f>
      </c>
      <c r="E431" t="str">
        <f>DATE(YEAR(D431),MONTH(D431),DAY(D431))</f>
      </c>
      <c r="F431" t="str">
        <f>CONCATENATE(C431,E431)</f>
      </c>
      <c r="G431" t="str">
        <f>TIMEVALUE(D431)</f>
      </c>
      <c r="H431" t="str">
        <f>COUNTIF(Szamlaszamok!A:A,A431)</f>
      </c>
      <c r="I431" t="str">
        <f>SUMIFS(Szamlaszamok!E:E,Szamlaszamok!A:A,Szamlaszamok_nonduplicate!A431)</f>
      </c>
    </row>
    <row r="432" spans="1:9">
      <c r="A432" t="s">
        <v>1562</v>
      </c>
      <c r="B432" t="str">
        <f>VLOOKUP($A432,Szamlaszamok!$A431:F1987,2,FALSE)</f>
      </c>
      <c r="C432" t="str">
        <f>VLOOKUP($A432,Szamlaszamok!$A431:F1987,3,FALSE)</f>
      </c>
      <c r="D432" t="str">
        <f>VLOOKUP($A432,Szamlaszamok!$A431:F1987,4,FALSE)</f>
      </c>
      <c r="E432" t="str">
        <f>DATE(YEAR(D432),MONTH(D432),DAY(D432))</f>
      </c>
      <c r="F432" t="str">
        <f>CONCATENATE(C432,E432)</f>
      </c>
      <c r="G432" t="str">
        <f>TIMEVALUE(D432)</f>
      </c>
      <c r="H432" t="str">
        <f>COUNTIF(Szamlaszamok!A:A,A432)</f>
      </c>
      <c r="I432" t="str">
        <f>SUMIFS(Szamlaszamok!E:E,Szamlaszamok!A:A,Szamlaszamok_nonduplicate!A432)</f>
      </c>
    </row>
    <row r="433" spans="1:9">
      <c r="A433" t="s">
        <v>1565</v>
      </c>
      <c r="B433" t="str">
        <f>VLOOKUP($A433,Szamlaszamok!$A432:F1988,2,FALSE)</f>
      </c>
      <c r="C433" t="str">
        <f>VLOOKUP($A433,Szamlaszamok!$A432:F1988,3,FALSE)</f>
      </c>
      <c r="D433" t="str">
        <f>VLOOKUP($A433,Szamlaszamok!$A432:F1988,4,FALSE)</f>
      </c>
      <c r="E433" t="str">
        <f>DATE(YEAR(D433),MONTH(D433),DAY(D433))</f>
      </c>
      <c r="F433" t="str">
        <f>CONCATENATE(C433,E433)</f>
      </c>
      <c r="G433" t="str">
        <f>TIMEVALUE(D433)</f>
      </c>
      <c r="H433" t="str">
        <f>COUNTIF(Szamlaszamok!A:A,A433)</f>
      </c>
      <c r="I433" t="str">
        <f>SUMIFS(Szamlaszamok!E:E,Szamlaszamok!A:A,Szamlaszamok_nonduplicate!A433)</f>
      </c>
    </row>
    <row r="434" spans="1:9">
      <c r="A434" t="s">
        <v>1568</v>
      </c>
      <c r="B434" t="str">
        <f>VLOOKUP($A434,Szamlaszamok!$A433:F1989,2,FALSE)</f>
      </c>
      <c r="C434" t="str">
        <f>VLOOKUP($A434,Szamlaszamok!$A433:F1989,3,FALSE)</f>
      </c>
      <c r="D434" t="str">
        <f>VLOOKUP($A434,Szamlaszamok!$A433:F1989,4,FALSE)</f>
      </c>
      <c r="E434" t="str">
        <f>DATE(YEAR(D434),MONTH(D434),DAY(D434))</f>
      </c>
      <c r="F434" t="str">
        <f>CONCATENATE(C434,E434)</f>
      </c>
      <c r="G434" t="str">
        <f>TIMEVALUE(D434)</f>
      </c>
      <c r="H434" t="str">
        <f>COUNTIF(Szamlaszamok!A:A,A434)</f>
      </c>
      <c r="I434" t="str">
        <f>SUMIFS(Szamlaszamok!E:E,Szamlaszamok!A:A,Szamlaszamok_nonduplicate!A434)</f>
      </c>
    </row>
    <row r="435" spans="1:9">
      <c r="A435" t="s">
        <v>1573</v>
      </c>
      <c r="B435" t="str">
        <f>VLOOKUP($A435,Szamlaszamok!$A434:F1990,2,FALSE)</f>
      </c>
      <c r="C435" t="str">
        <f>VLOOKUP($A435,Szamlaszamok!$A434:F1990,3,FALSE)</f>
      </c>
      <c r="D435" t="str">
        <f>VLOOKUP($A435,Szamlaszamok!$A434:F1990,4,FALSE)</f>
      </c>
      <c r="E435" t="str">
        <f>DATE(YEAR(D435),MONTH(D435),DAY(D435))</f>
      </c>
      <c r="F435" t="str">
        <f>CONCATENATE(C435,E435)</f>
      </c>
      <c r="G435" t="str">
        <f>TIMEVALUE(D435)</f>
      </c>
      <c r="H435" t="str">
        <f>COUNTIF(Szamlaszamok!A:A,A435)</f>
      </c>
      <c r="I435" t="str">
        <f>SUMIFS(Szamlaszamok!E:E,Szamlaszamok!A:A,Szamlaszamok_nonduplicate!A435)</f>
      </c>
    </row>
    <row r="436" spans="1:9">
      <c r="A436" t="s">
        <v>1576</v>
      </c>
      <c r="B436" t="str">
        <f>VLOOKUP($A436,Szamlaszamok!$A435:F1991,2,FALSE)</f>
      </c>
      <c r="C436" t="str">
        <f>VLOOKUP($A436,Szamlaszamok!$A435:F1991,3,FALSE)</f>
      </c>
      <c r="D436" t="str">
        <f>VLOOKUP($A436,Szamlaszamok!$A435:F1991,4,FALSE)</f>
      </c>
      <c r="E436" t="str">
        <f>DATE(YEAR(D436),MONTH(D436),DAY(D436))</f>
      </c>
      <c r="F436" t="str">
        <f>CONCATENATE(C436,E436)</f>
      </c>
      <c r="G436" t="str">
        <f>TIMEVALUE(D436)</f>
      </c>
      <c r="H436" t="str">
        <f>COUNTIF(Szamlaszamok!A:A,A436)</f>
      </c>
      <c r="I436" t="str">
        <f>SUMIFS(Szamlaszamok!E:E,Szamlaszamok!A:A,Szamlaszamok_nonduplicate!A436)</f>
      </c>
    </row>
    <row r="437" spans="1:9">
      <c r="A437" t="s">
        <v>1580</v>
      </c>
      <c r="B437" t="str">
        <f>VLOOKUP($A437,Szamlaszamok!$A436:F1992,2,FALSE)</f>
      </c>
      <c r="C437" t="str">
        <f>VLOOKUP($A437,Szamlaszamok!$A436:F1992,3,FALSE)</f>
      </c>
      <c r="D437" t="str">
        <f>VLOOKUP($A437,Szamlaszamok!$A436:F1992,4,FALSE)</f>
      </c>
      <c r="E437" t="str">
        <f>DATE(YEAR(D437),MONTH(D437),DAY(D437))</f>
      </c>
      <c r="F437" t="str">
        <f>CONCATENATE(C437,E437)</f>
      </c>
      <c r="G437" t="str">
        <f>TIMEVALUE(D437)</f>
      </c>
      <c r="H437" t="str">
        <f>COUNTIF(Szamlaszamok!A:A,A437)</f>
      </c>
      <c r="I437" t="str">
        <f>SUMIFS(Szamlaszamok!E:E,Szamlaszamok!A:A,Szamlaszamok_nonduplicate!A437)</f>
      </c>
    </row>
    <row r="438" spans="1:9">
      <c r="A438" t="s">
        <v>1583</v>
      </c>
      <c r="B438" t="str">
        <f>VLOOKUP($A438,Szamlaszamok!$A437:F1993,2,FALSE)</f>
      </c>
      <c r="C438" t="str">
        <f>VLOOKUP($A438,Szamlaszamok!$A437:F1993,3,FALSE)</f>
      </c>
      <c r="D438" t="str">
        <f>VLOOKUP($A438,Szamlaszamok!$A437:F1993,4,FALSE)</f>
      </c>
      <c r="E438" t="str">
        <f>DATE(YEAR(D438),MONTH(D438),DAY(D438))</f>
      </c>
      <c r="F438" t="str">
        <f>CONCATENATE(C438,E438)</f>
      </c>
      <c r="G438" t="str">
        <f>TIMEVALUE(D438)</f>
      </c>
      <c r="H438" t="str">
        <f>COUNTIF(Szamlaszamok!A:A,A438)</f>
      </c>
      <c r="I438" t="str">
        <f>SUMIFS(Szamlaszamok!E:E,Szamlaszamok!A:A,Szamlaszamok_nonduplicate!A438)</f>
      </c>
    </row>
    <row r="439" spans="1:9">
      <c r="A439" t="s">
        <v>1588</v>
      </c>
      <c r="B439" t="str">
        <f>VLOOKUP($A439,Szamlaszamok!$A438:F1994,2,FALSE)</f>
      </c>
      <c r="C439" t="str">
        <f>VLOOKUP($A439,Szamlaszamok!$A438:F1994,3,FALSE)</f>
      </c>
      <c r="D439" t="str">
        <f>VLOOKUP($A439,Szamlaszamok!$A438:F1994,4,FALSE)</f>
      </c>
      <c r="E439" t="str">
        <f>DATE(YEAR(D439),MONTH(D439),DAY(D439))</f>
      </c>
      <c r="F439" t="str">
        <f>CONCATENATE(C439,E439)</f>
      </c>
      <c r="G439" t="str">
        <f>TIMEVALUE(D439)</f>
      </c>
      <c r="H439" t="str">
        <f>COUNTIF(Szamlaszamok!A:A,A439)</f>
      </c>
      <c r="I439" t="str">
        <f>SUMIFS(Szamlaszamok!E:E,Szamlaszamok!A:A,Szamlaszamok_nonduplicate!A439)</f>
      </c>
    </row>
    <row r="440" spans="1:9">
      <c r="A440" t="s">
        <v>1592</v>
      </c>
      <c r="B440" t="str">
        <f>VLOOKUP($A440,Szamlaszamok!$A439:F1995,2,FALSE)</f>
      </c>
      <c r="C440" t="str">
        <f>VLOOKUP($A440,Szamlaszamok!$A439:F1995,3,FALSE)</f>
      </c>
      <c r="D440" t="str">
        <f>VLOOKUP($A440,Szamlaszamok!$A439:F1995,4,FALSE)</f>
      </c>
      <c r="E440" t="str">
        <f>DATE(YEAR(D440),MONTH(D440),DAY(D440))</f>
      </c>
      <c r="F440" t="str">
        <f>CONCATENATE(C440,E440)</f>
      </c>
      <c r="G440" t="str">
        <f>TIMEVALUE(D440)</f>
      </c>
      <c r="H440" t="str">
        <f>COUNTIF(Szamlaszamok!A:A,A440)</f>
      </c>
      <c r="I440" t="str">
        <f>SUMIFS(Szamlaszamok!E:E,Szamlaszamok!A:A,Szamlaszamok_nonduplicate!A440)</f>
      </c>
    </row>
    <row r="441" spans="1:9">
      <c r="A441" t="s">
        <v>1596</v>
      </c>
      <c r="B441" t="str">
        <f>VLOOKUP($A441,Szamlaszamok!$A440:F1996,2,FALSE)</f>
      </c>
      <c r="C441" t="str">
        <f>VLOOKUP($A441,Szamlaszamok!$A440:F1996,3,FALSE)</f>
      </c>
      <c r="D441" t="str">
        <f>VLOOKUP($A441,Szamlaszamok!$A440:F1996,4,FALSE)</f>
      </c>
      <c r="E441" t="str">
        <f>DATE(YEAR(D441),MONTH(D441),DAY(D441))</f>
      </c>
      <c r="F441" t="str">
        <f>CONCATENATE(C441,E441)</f>
      </c>
      <c r="G441" t="str">
        <f>TIMEVALUE(D441)</f>
      </c>
      <c r="H441" t="str">
        <f>COUNTIF(Szamlaszamok!A:A,A441)</f>
      </c>
      <c r="I441" t="str">
        <f>SUMIFS(Szamlaszamok!E:E,Szamlaszamok!A:A,Szamlaszamok_nonduplicate!A441)</f>
      </c>
    </row>
    <row r="442" spans="1:9">
      <c r="A442" t="s">
        <v>1599</v>
      </c>
      <c r="B442" t="str">
        <f>VLOOKUP($A442,Szamlaszamok!$A441:F1997,2,FALSE)</f>
      </c>
      <c r="C442" t="str">
        <f>VLOOKUP($A442,Szamlaszamok!$A441:F1997,3,FALSE)</f>
      </c>
      <c r="D442" t="str">
        <f>VLOOKUP($A442,Szamlaszamok!$A441:F1997,4,FALSE)</f>
      </c>
      <c r="E442" t="str">
        <f>DATE(YEAR(D442),MONTH(D442),DAY(D442))</f>
      </c>
      <c r="F442" t="str">
        <f>CONCATENATE(C442,E442)</f>
      </c>
      <c r="G442" t="str">
        <f>TIMEVALUE(D442)</f>
      </c>
      <c r="H442" t="str">
        <f>COUNTIF(Szamlaszamok!A:A,A442)</f>
      </c>
      <c r="I442" t="str">
        <f>SUMIFS(Szamlaszamok!E:E,Szamlaszamok!A:A,Szamlaszamok_nonduplicate!A442)</f>
      </c>
    </row>
    <row r="443" spans="1:9">
      <c r="A443" t="s">
        <v>1604</v>
      </c>
      <c r="B443" t="str">
        <f>VLOOKUP($A443,Szamlaszamok!$A442:F1998,2,FALSE)</f>
      </c>
      <c r="C443" t="str">
        <f>VLOOKUP($A443,Szamlaszamok!$A442:F1998,3,FALSE)</f>
      </c>
      <c r="D443" t="str">
        <f>VLOOKUP($A443,Szamlaszamok!$A442:F1998,4,FALSE)</f>
      </c>
      <c r="E443" t="str">
        <f>DATE(YEAR(D443),MONTH(D443),DAY(D443))</f>
      </c>
      <c r="F443" t="str">
        <f>CONCATENATE(C443,E443)</f>
      </c>
      <c r="G443" t="str">
        <f>TIMEVALUE(D443)</f>
      </c>
      <c r="H443" t="str">
        <f>COUNTIF(Szamlaszamok!A:A,A443)</f>
      </c>
      <c r="I443" t="str">
        <f>SUMIFS(Szamlaszamok!E:E,Szamlaszamok!A:A,Szamlaszamok_nonduplicate!A443)</f>
      </c>
    </row>
    <row r="444" spans="1:9">
      <c r="A444" t="s">
        <v>1608</v>
      </c>
      <c r="B444" t="str">
        <f>VLOOKUP($A444,Szamlaszamok!$A443:F1999,2,FALSE)</f>
      </c>
      <c r="C444" t="str">
        <f>VLOOKUP($A444,Szamlaszamok!$A443:F1999,3,FALSE)</f>
      </c>
      <c r="D444" t="str">
        <f>VLOOKUP($A444,Szamlaszamok!$A443:F1999,4,FALSE)</f>
      </c>
      <c r="E444" t="str">
        <f>DATE(YEAR(D444),MONTH(D444),DAY(D444))</f>
      </c>
      <c r="F444" t="str">
        <f>CONCATENATE(C444,E444)</f>
      </c>
      <c r="G444" t="str">
        <f>TIMEVALUE(D444)</f>
      </c>
      <c r="H444" t="str">
        <f>COUNTIF(Szamlaszamok!A:A,A444)</f>
      </c>
      <c r="I444" t="str">
        <f>SUMIFS(Szamlaszamok!E:E,Szamlaszamok!A:A,Szamlaszamok_nonduplicate!A444)</f>
      </c>
    </row>
    <row r="445" spans="1:9">
      <c r="A445" t="s">
        <v>1612</v>
      </c>
      <c r="B445" t="str">
        <f>VLOOKUP($A445,Szamlaszamok!$A444:F2000,2,FALSE)</f>
      </c>
      <c r="C445" t="str">
        <f>VLOOKUP($A445,Szamlaszamok!$A444:F2000,3,FALSE)</f>
      </c>
      <c r="D445" t="str">
        <f>VLOOKUP($A445,Szamlaszamok!$A444:F2000,4,FALSE)</f>
      </c>
      <c r="E445" t="str">
        <f>DATE(YEAR(D445),MONTH(D445),DAY(D445))</f>
      </c>
      <c r="F445" t="str">
        <f>CONCATENATE(C445,E445)</f>
      </c>
      <c r="G445" t="str">
        <f>TIMEVALUE(D445)</f>
      </c>
      <c r="H445" t="str">
        <f>COUNTIF(Szamlaszamok!A:A,A445)</f>
      </c>
      <c r="I445" t="str">
        <f>SUMIFS(Szamlaszamok!E:E,Szamlaszamok!A:A,Szamlaszamok_nonduplicate!A445)</f>
      </c>
    </row>
    <row r="446" spans="1:9">
      <c r="A446" t="s">
        <v>1615</v>
      </c>
      <c r="B446" t="str">
        <f>VLOOKUP($A446,Szamlaszamok!$A445:F2001,2,FALSE)</f>
      </c>
      <c r="C446" t="str">
        <f>VLOOKUP($A446,Szamlaszamok!$A445:F2001,3,FALSE)</f>
      </c>
      <c r="D446" t="str">
        <f>VLOOKUP($A446,Szamlaszamok!$A445:F2001,4,FALSE)</f>
      </c>
      <c r="E446" t="str">
        <f>DATE(YEAR(D446),MONTH(D446),DAY(D446))</f>
      </c>
      <c r="F446" t="str">
        <f>CONCATENATE(C446,E446)</f>
      </c>
      <c r="G446" t="str">
        <f>TIMEVALUE(D446)</f>
      </c>
      <c r="H446" t="str">
        <f>COUNTIF(Szamlaszamok!A:A,A446)</f>
      </c>
      <c r="I446" t="str">
        <f>SUMIFS(Szamlaszamok!E:E,Szamlaszamok!A:A,Szamlaszamok_nonduplicate!A446)</f>
      </c>
    </row>
    <row r="447" spans="1:9">
      <c r="A447" t="s">
        <v>1625</v>
      </c>
      <c r="B447" t="str">
        <f>VLOOKUP($A447,Szamlaszamok!$A446:F2002,2,FALSE)</f>
      </c>
      <c r="C447" t="str">
        <f>VLOOKUP($A447,Szamlaszamok!$A446:F2002,3,FALSE)</f>
      </c>
      <c r="D447" t="str">
        <f>VLOOKUP($A447,Szamlaszamok!$A446:F2002,4,FALSE)</f>
      </c>
      <c r="E447" t="str">
        <f>DATE(YEAR(D447),MONTH(D447),DAY(D447))</f>
      </c>
      <c r="F447" t="str">
        <f>CONCATENATE(C447,E447)</f>
      </c>
      <c r="G447" t="str">
        <f>TIMEVALUE(D447)</f>
      </c>
      <c r="H447" t="str">
        <f>COUNTIF(Szamlaszamok!A:A,A447)</f>
      </c>
      <c r="I447" t="str">
        <f>SUMIFS(Szamlaszamok!E:E,Szamlaszamok!A:A,Szamlaszamok_nonduplicate!A447)</f>
      </c>
    </row>
    <row r="448" spans="1:9">
      <c r="A448" t="s">
        <v>1632</v>
      </c>
      <c r="B448" t="str">
        <f>VLOOKUP($A448,Szamlaszamok!$A447:F2003,2,FALSE)</f>
      </c>
      <c r="C448" t="str">
        <f>VLOOKUP($A448,Szamlaszamok!$A447:F2003,3,FALSE)</f>
      </c>
      <c r="D448" t="str">
        <f>VLOOKUP($A448,Szamlaszamok!$A447:F2003,4,FALSE)</f>
      </c>
      <c r="E448" t="str">
        <f>DATE(YEAR(D448),MONTH(D448),DAY(D448))</f>
      </c>
      <c r="F448" t="str">
        <f>CONCATENATE(C448,E448)</f>
      </c>
      <c r="G448" t="str">
        <f>TIMEVALUE(D448)</f>
      </c>
      <c r="H448" t="str">
        <f>COUNTIF(Szamlaszamok!A:A,A448)</f>
      </c>
      <c r="I448" t="str">
        <f>SUMIFS(Szamlaszamok!E:E,Szamlaszamok!A:A,Szamlaszamok_nonduplicate!A448)</f>
      </c>
    </row>
    <row r="449" spans="1:9">
      <c r="A449" t="s">
        <v>1636</v>
      </c>
      <c r="B449" t="str">
        <f>VLOOKUP($A449,Szamlaszamok!$A448:F2004,2,FALSE)</f>
      </c>
      <c r="C449" t="str">
        <f>VLOOKUP($A449,Szamlaszamok!$A448:F2004,3,FALSE)</f>
      </c>
      <c r="D449" t="str">
        <f>VLOOKUP($A449,Szamlaszamok!$A448:F2004,4,FALSE)</f>
      </c>
      <c r="E449" t="str">
        <f>DATE(YEAR(D449),MONTH(D449),DAY(D449))</f>
      </c>
      <c r="F449" t="str">
        <f>CONCATENATE(C449,E449)</f>
      </c>
      <c r="G449" t="str">
        <f>TIMEVALUE(D449)</f>
      </c>
      <c r="H449" t="str">
        <f>COUNTIF(Szamlaszamok!A:A,A449)</f>
      </c>
      <c r="I449" t="str">
        <f>SUMIFS(Szamlaszamok!E:E,Szamlaszamok!A:A,Szamlaszamok_nonduplicate!A449)</f>
      </c>
    </row>
    <row r="450" spans="1:9">
      <c r="A450" t="s">
        <v>1641</v>
      </c>
      <c r="B450" t="str">
        <f>VLOOKUP($A450,Szamlaszamok!$A449:F2005,2,FALSE)</f>
      </c>
      <c r="C450" t="str">
        <f>VLOOKUP($A450,Szamlaszamok!$A449:F2005,3,FALSE)</f>
      </c>
      <c r="D450" t="str">
        <f>VLOOKUP($A450,Szamlaszamok!$A449:F2005,4,FALSE)</f>
      </c>
      <c r="E450" t="str">
        <f>DATE(YEAR(D450),MONTH(D450),DAY(D450))</f>
      </c>
      <c r="F450" t="str">
        <f>CONCATENATE(C450,E450)</f>
      </c>
      <c r="G450" t="str">
        <f>TIMEVALUE(D450)</f>
      </c>
      <c r="H450" t="str">
        <f>COUNTIF(Szamlaszamok!A:A,A450)</f>
      </c>
      <c r="I450" t="str">
        <f>SUMIFS(Szamlaszamok!E:E,Szamlaszamok!A:A,Szamlaszamok_nonduplicate!A450)</f>
      </c>
    </row>
    <row r="451" spans="1:9">
      <c r="A451" t="s">
        <v>1645</v>
      </c>
      <c r="B451" t="str">
        <f>VLOOKUP($A451,Szamlaszamok!$A450:F2006,2,FALSE)</f>
      </c>
      <c r="C451" t="str">
        <f>VLOOKUP($A451,Szamlaszamok!$A450:F2006,3,FALSE)</f>
      </c>
      <c r="D451" t="str">
        <f>VLOOKUP($A451,Szamlaszamok!$A450:F2006,4,FALSE)</f>
      </c>
      <c r="E451" t="str">
        <f>DATE(YEAR(D451),MONTH(D451),DAY(D451))</f>
      </c>
      <c r="F451" t="str">
        <f>CONCATENATE(C451,E451)</f>
      </c>
      <c r="G451" t="str">
        <f>TIMEVALUE(D451)</f>
      </c>
      <c r="H451" t="str">
        <f>COUNTIF(Szamlaszamok!A:A,A451)</f>
      </c>
      <c r="I451" t="str">
        <f>SUMIFS(Szamlaszamok!E:E,Szamlaszamok!A:A,Szamlaszamok_nonduplicate!A451)</f>
      </c>
    </row>
    <row r="452" spans="1:9">
      <c r="A452" t="s">
        <v>1647</v>
      </c>
      <c r="B452" t="str">
        <f>VLOOKUP($A452,Szamlaszamok!$A451:F2007,2,FALSE)</f>
      </c>
      <c r="C452" t="str">
        <f>VLOOKUP($A452,Szamlaszamok!$A451:F2007,3,FALSE)</f>
      </c>
      <c r="D452" t="str">
        <f>VLOOKUP($A452,Szamlaszamok!$A451:F2007,4,FALSE)</f>
      </c>
      <c r="E452" t="str">
        <f>DATE(YEAR(D452),MONTH(D452),DAY(D452))</f>
      </c>
      <c r="F452" t="str">
        <f>CONCATENATE(C452,E452)</f>
      </c>
      <c r="G452" t="str">
        <f>TIMEVALUE(D452)</f>
      </c>
      <c r="H452" t="str">
        <f>COUNTIF(Szamlaszamok!A:A,A452)</f>
      </c>
      <c r="I452" t="str">
        <f>SUMIFS(Szamlaszamok!E:E,Szamlaszamok!A:A,Szamlaszamok_nonduplicate!A452)</f>
      </c>
    </row>
    <row r="453" spans="1:9">
      <c r="A453" t="s">
        <v>1651</v>
      </c>
      <c r="B453" t="str">
        <f>VLOOKUP($A453,Szamlaszamok!$A452:F2008,2,FALSE)</f>
      </c>
      <c r="C453" t="str">
        <f>VLOOKUP($A453,Szamlaszamok!$A452:F2008,3,FALSE)</f>
      </c>
      <c r="D453" t="str">
        <f>VLOOKUP($A453,Szamlaszamok!$A452:F2008,4,FALSE)</f>
      </c>
      <c r="E453" t="str">
        <f>DATE(YEAR(D453),MONTH(D453),DAY(D453))</f>
      </c>
      <c r="F453" t="str">
        <f>CONCATENATE(C453,E453)</f>
      </c>
      <c r="G453" t="str">
        <f>TIMEVALUE(D453)</f>
      </c>
      <c r="H453" t="str">
        <f>COUNTIF(Szamlaszamok!A:A,A453)</f>
      </c>
      <c r="I453" t="str">
        <f>SUMIFS(Szamlaszamok!E:E,Szamlaszamok!A:A,Szamlaszamok_nonduplicate!A453)</f>
      </c>
    </row>
    <row r="454" spans="1:9">
      <c r="A454" t="s">
        <v>1656</v>
      </c>
      <c r="B454" t="str">
        <f>VLOOKUP($A454,Szamlaszamok!$A453:F2009,2,FALSE)</f>
      </c>
      <c r="C454" t="str">
        <f>VLOOKUP($A454,Szamlaszamok!$A453:F2009,3,FALSE)</f>
      </c>
      <c r="D454" t="str">
        <f>VLOOKUP($A454,Szamlaszamok!$A453:F2009,4,FALSE)</f>
      </c>
      <c r="E454" t="str">
        <f>DATE(YEAR(D454),MONTH(D454),DAY(D454))</f>
      </c>
      <c r="F454" t="str">
        <f>CONCATENATE(C454,E454)</f>
      </c>
      <c r="G454" t="str">
        <f>TIMEVALUE(D454)</f>
      </c>
      <c r="H454" t="str">
        <f>COUNTIF(Szamlaszamok!A:A,A454)</f>
      </c>
      <c r="I454" t="str">
        <f>SUMIFS(Szamlaszamok!E:E,Szamlaszamok!A:A,Szamlaszamok_nonduplicate!A454)</f>
      </c>
    </row>
    <row r="455" spans="1:9">
      <c r="A455" t="s">
        <v>1659</v>
      </c>
      <c r="B455" t="str">
        <f>VLOOKUP($A455,Szamlaszamok!$A454:F2010,2,FALSE)</f>
      </c>
      <c r="C455" t="str">
        <f>VLOOKUP($A455,Szamlaszamok!$A454:F2010,3,FALSE)</f>
      </c>
      <c r="D455" t="str">
        <f>VLOOKUP($A455,Szamlaszamok!$A454:F2010,4,FALSE)</f>
      </c>
      <c r="E455" t="str">
        <f>DATE(YEAR(D455),MONTH(D455),DAY(D455))</f>
      </c>
      <c r="F455" t="str">
        <f>CONCATENATE(C455,E455)</f>
      </c>
      <c r="G455" t="str">
        <f>TIMEVALUE(D455)</f>
      </c>
      <c r="H455" t="str">
        <f>COUNTIF(Szamlaszamok!A:A,A455)</f>
      </c>
      <c r="I455" t="str">
        <f>SUMIFS(Szamlaszamok!E:E,Szamlaszamok!A:A,Szamlaszamok_nonduplicate!A455)</f>
      </c>
    </row>
    <row r="456" spans="1:9">
      <c r="A456" t="s">
        <v>1663</v>
      </c>
      <c r="B456" t="str">
        <f>VLOOKUP($A456,Szamlaszamok!$A455:F2011,2,FALSE)</f>
      </c>
      <c r="C456" t="str">
        <f>VLOOKUP($A456,Szamlaszamok!$A455:F2011,3,FALSE)</f>
      </c>
      <c r="D456" t="str">
        <f>VLOOKUP($A456,Szamlaszamok!$A455:F2011,4,FALSE)</f>
      </c>
      <c r="E456" t="str">
        <f>DATE(YEAR(D456),MONTH(D456),DAY(D456))</f>
      </c>
      <c r="F456" t="str">
        <f>CONCATENATE(C456,E456)</f>
      </c>
      <c r="G456" t="str">
        <f>TIMEVALUE(D456)</f>
      </c>
      <c r="H456" t="str">
        <f>COUNTIF(Szamlaszamok!A:A,A456)</f>
      </c>
      <c r="I456" t="str">
        <f>SUMIFS(Szamlaszamok!E:E,Szamlaszamok!A:A,Szamlaszamok_nonduplicate!A456)</f>
      </c>
    </row>
    <row r="457" spans="1:9">
      <c r="A457" t="s">
        <v>1668</v>
      </c>
      <c r="B457" t="str">
        <f>VLOOKUP($A457,Szamlaszamok!$A456:F2012,2,FALSE)</f>
      </c>
      <c r="C457" t="str">
        <f>VLOOKUP($A457,Szamlaszamok!$A456:F2012,3,FALSE)</f>
      </c>
      <c r="D457" t="str">
        <f>VLOOKUP($A457,Szamlaszamok!$A456:F2012,4,FALSE)</f>
      </c>
      <c r="E457" t="str">
        <f>DATE(YEAR(D457),MONTH(D457),DAY(D457))</f>
      </c>
      <c r="F457" t="str">
        <f>CONCATENATE(C457,E457)</f>
      </c>
      <c r="G457" t="str">
        <f>TIMEVALUE(D457)</f>
      </c>
      <c r="H457" t="str">
        <f>COUNTIF(Szamlaszamok!A:A,A457)</f>
      </c>
      <c r="I457" t="str">
        <f>SUMIFS(Szamlaszamok!E:E,Szamlaszamok!A:A,Szamlaszamok_nonduplicate!A457)</f>
      </c>
    </row>
    <row r="458" spans="1:9">
      <c r="A458" t="s">
        <v>1672</v>
      </c>
      <c r="B458" t="str">
        <f>VLOOKUP($A458,Szamlaszamok!$A457:F2013,2,FALSE)</f>
      </c>
      <c r="C458" t="str">
        <f>VLOOKUP($A458,Szamlaszamok!$A457:F2013,3,FALSE)</f>
      </c>
      <c r="D458" t="str">
        <f>VLOOKUP($A458,Szamlaszamok!$A457:F2013,4,FALSE)</f>
      </c>
      <c r="E458" t="str">
        <f>DATE(YEAR(D458),MONTH(D458),DAY(D458))</f>
      </c>
      <c r="F458" t="str">
        <f>CONCATENATE(C458,E458)</f>
      </c>
      <c r="G458" t="str">
        <f>TIMEVALUE(D458)</f>
      </c>
      <c r="H458" t="str">
        <f>COUNTIF(Szamlaszamok!A:A,A458)</f>
      </c>
      <c r="I458" t="str">
        <f>SUMIFS(Szamlaszamok!E:E,Szamlaszamok!A:A,Szamlaszamok_nonduplicate!A458)</f>
      </c>
    </row>
    <row r="459" spans="1:9">
      <c r="A459" t="s">
        <v>1676</v>
      </c>
      <c r="B459" t="str">
        <f>VLOOKUP($A459,Szamlaszamok!$A458:F2014,2,FALSE)</f>
      </c>
      <c r="C459" t="str">
        <f>VLOOKUP($A459,Szamlaszamok!$A458:F2014,3,FALSE)</f>
      </c>
      <c r="D459" t="str">
        <f>VLOOKUP($A459,Szamlaszamok!$A458:F2014,4,FALSE)</f>
      </c>
      <c r="E459" t="str">
        <f>DATE(YEAR(D459),MONTH(D459),DAY(D459))</f>
      </c>
      <c r="F459" t="str">
        <f>CONCATENATE(C459,E459)</f>
      </c>
      <c r="G459" t="str">
        <f>TIMEVALUE(D459)</f>
      </c>
      <c r="H459" t="str">
        <f>COUNTIF(Szamlaszamok!A:A,A459)</f>
      </c>
      <c r="I459" t="str">
        <f>SUMIFS(Szamlaszamok!E:E,Szamlaszamok!A:A,Szamlaszamok_nonduplicate!A459)</f>
      </c>
    </row>
    <row r="460" spans="1:9">
      <c r="A460" t="s">
        <v>1680</v>
      </c>
      <c r="B460" t="str">
        <f>VLOOKUP($A460,Szamlaszamok!$A459:F2015,2,FALSE)</f>
      </c>
      <c r="C460" t="str">
        <f>VLOOKUP($A460,Szamlaszamok!$A459:F2015,3,FALSE)</f>
      </c>
      <c r="D460" t="str">
        <f>VLOOKUP($A460,Szamlaszamok!$A459:F2015,4,FALSE)</f>
      </c>
      <c r="E460" t="str">
        <f>DATE(YEAR(D460),MONTH(D460),DAY(D460))</f>
      </c>
      <c r="F460" t="str">
        <f>CONCATENATE(C460,E460)</f>
      </c>
      <c r="G460" t="str">
        <f>TIMEVALUE(D460)</f>
      </c>
      <c r="H460" t="str">
        <f>COUNTIF(Szamlaszamok!A:A,A460)</f>
      </c>
      <c r="I460" t="str">
        <f>SUMIFS(Szamlaszamok!E:E,Szamlaszamok!A:A,Szamlaszamok_nonduplicate!A460)</f>
      </c>
    </row>
    <row r="461" spans="1:9">
      <c r="A461" t="s">
        <v>1685</v>
      </c>
      <c r="B461" t="str">
        <f>VLOOKUP($A461,Szamlaszamok!$A460:F2016,2,FALSE)</f>
      </c>
      <c r="C461" t="str">
        <f>VLOOKUP($A461,Szamlaszamok!$A460:F2016,3,FALSE)</f>
      </c>
      <c r="D461" t="str">
        <f>VLOOKUP($A461,Szamlaszamok!$A460:F2016,4,FALSE)</f>
      </c>
      <c r="E461" t="str">
        <f>DATE(YEAR(D461),MONTH(D461),DAY(D461))</f>
      </c>
      <c r="F461" t="str">
        <f>CONCATENATE(C461,E461)</f>
      </c>
      <c r="G461" t="str">
        <f>TIMEVALUE(D461)</f>
      </c>
      <c r="H461" t="str">
        <f>COUNTIF(Szamlaszamok!A:A,A461)</f>
      </c>
      <c r="I461" t="str">
        <f>SUMIFS(Szamlaszamok!E:E,Szamlaszamok!A:A,Szamlaszamok_nonduplicate!A461)</f>
      </c>
    </row>
    <row r="462" spans="1:9">
      <c r="A462" t="s">
        <v>1689</v>
      </c>
      <c r="B462" t="str">
        <f>VLOOKUP($A462,Szamlaszamok!$A461:F2017,2,FALSE)</f>
      </c>
      <c r="C462" t="str">
        <f>VLOOKUP($A462,Szamlaszamok!$A461:F2017,3,FALSE)</f>
      </c>
      <c r="D462" t="str">
        <f>VLOOKUP($A462,Szamlaszamok!$A461:F2017,4,FALSE)</f>
      </c>
      <c r="E462" t="str">
        <f>DATE(YEAR(D462),MONTH(D462),DAY(D462))</f>
      </c>
      <c r="F462" t="str">
        <f>CONCATENATE(C462,E462)</f>
      </c>
      <c r="G462" t="str">
        <f>TIMEVALUE(D462)</f>
      </c>
      <c r="H462" t="str">
        <f>COUNTIF(Szamlaszamok!A:A,A462)</f>
      </c>
      <c r="I462" t="str">
        <f>SUMIFS(Szamlaszamok!E:E,Szamlaszamok!A:A,Szamlaszamok_nonduplicate!A462)</f>
      </c>
    </row>
    <row r="463" spans="1:9">
      <c r="A463" t="s">
        <v>1693</v>
      </c>
      <c r="B463" t="str">
        <f>VLOOKUP($A463,Szamlaszamok!$A462:F2018,2,FALSE)</f>
      </c>
      <c r="C463" t="str">
        <f>VLOOKUP($A463,Szamlaszamok!$A462:F2018,3,FALSE)</f>
      </c>
      <c r="D463" t="str">
        <f>VLOOKUP($A463,Szamlaszamok!$A462:F2018,4,FALSE)</f>
      </c>
      <c r="E463" t="str">
        <f>DATE(YEAR(D463),MONTH(D463),DAY(D463))</f>
      </c>
      <c r="F463" t="str">
        <f>CONCATENATE(C463,E463)</f>
      </c>
      <c r="G463" t="str">
        <f>TIMEVALUE(D463)</f>
      </c>
      <c r="H463" t="str">
        <f>COUNTIF(Szamlaszamok!A:A,A463)</f>
      </c>
      <c r="I463" t="str">
        <f>SUMIFS(Szamlaszamok!E:E,Szamlaszamok!A:A,Szamlaszamok_nonduplicate!A463)</f>
      </c>
    </row>
    <row r="464" spans="1:9">
      <c r="A464" t="s">
        <v>1697</v>
      </c>
      <c r="B464" t="str">
        <f>VLOOKUP($A464,Szamlaszamok!$A463:F2019,2,FALSE)</f>
      </c>
      <c r="C464" t="str">
        <f>VLOOKUP($A464,Szamlaszamok!$A463:F2019,3,FALSE)</f>
      </c>
      <c r="D464" t="str">
        <f>VLOOKUP($A464,Szamlaszamok!$A463:F2019,4,FALSE)</f>
      </c>
      <c r="E464" t="str">
        <f>DATE(YEAR(D464),MONTH(D464),DAY(D464))</f>
      </c>
      <c r="F464" t="str">
        <f>CONCATENATE(C464,E464)</f>
      </c>
      <c r="G464" t="str">
        <f>TIMEVALUE(D464)</f>
      </c>
      <c r="H464" t="str">
        <f>COUNTIF(Szamlaszamok!A:A,A464)</f>
      </c>
      <c r="I464" t="str">
        <f>SUMIFS(Szamlaszamok!E:E,Szamlaszamok!A:A,Szamlaszamok_nonduplicate!A464)</f>
      </c>
    </row>
    <row r="465" spans="1:9">
      <c r="A465" t="s">
        <v>1701</v>
      </c>
      <c r="B465" t="str">
        <f>VLOOKUP($A465,Szamlaszamok!$A464:F2020,2,FALSE)</f>
      </c>
      <c r="C465" t="str">
        <f>VLOOKUP($A465,Szamlaszamok!$A464:F2020,3,FALSE)</f>
      </c>
      <c r="D465" t="str">
        <f>VLOOKUP($A465,Szamlaszamok!$A464:F2020,4,FALSE)</f>
      </c>
      <c r="E465" t="str">
        <f>DATE(YEAR(D465),MONTH(D465),DAY(D465))</f>
      </c>
      <c r="F465" t="str">
        <f>CONCATENATE(C465,E465)</f>
      </c>
      <c r="G465" t="str">
        <f>TIMEVALUE(D465)</f>
      </c>
      <c r="H465" t="str">
        <f>COUNTIF(Szamlaszamok!A:A,A465)</f>
      </c>
      <c r="I465" t="str">
        <f>SUMIFS(Szamlaszamok!E:E,Szamlaszamok!A:A,Szamlaszamok_nonduplicate!A465)</f>
      </c>
    </row>
    <row r="466" spans="1:9">
      <c r="A466" t="s">
        <v>1704</v>
      </c>
      <c r="B466" t="str">
        <f>VLOOKUP($A466,Szamlaszamok!$A465:F2021,2,FALSE)</f>
      </c>
      <c r="C466" t="str">
        <f>VLOOKUP($A466,Szamlaszamok!$A465:F2021,3,FALSE)</f>
      </c>
      <c r="D466" t="str">
        <f>VLOOKUP($A466,Szamlaszamok!$A465:F2021,4,FALSE)</f>
      </c>
      <c r="E466" t="str">
        <f>DATE(YEAR(D466),MONTH(D466),DAY(D466))</f>
      </c>
      <c r="F466" t="str">
        <f>CONCATENATE(C466,E466)</f>
      </c>
      <c r="G466" t="str">
        <f>TIMEVALUE(D466)</f>
      </c>
      <c r="H466" t="str">
        <f>COUNTIF(Szamlaszamok!A:A,A466)</f>
      </c>
      <c r="I466" t="str">
        <f>SUMIFS(Szamlaszamok!E:E,Szamlaszamok!A:A,Szamlaszamok_nonduplicate!A466)</f>
      </c>
    </row>
    <row r="467" spans="1:9">
      <c r="A467" t="s">
        <v>1707</v>
      </c>
      <c r="B467" t="str">
        <f>VLOOKUP($A467,Szamlaszamok!$A466:F2022,2,FALSE)</f>
      </c>
      <c r="C467" t="str">
        <f>VLOOKUP($A467,Szamlaszamok!$A466:F2022,3,FALSE)</f>
      </c>
      <c r="D467" t="str">
        <f>VLOOKUP($A467,Szamlaszamok!$A466:F2022,4,FALSE)</f>
      </c>
      <c r="E467" t="str">
        <f>DATE(YEAR(D467),MONTH(D467),DAY(D467))</f>
      </c>
      <c r="F467" t="str">
        <f>CONCATENATE(C467,E467)</f>
      </c>
      <c r="G467" t="str">
        <f>TIMEVALUE(D467)</f>
      </c>
      <c r="H467" t="str">
        <f>COUNTIF(Szamlaszamok!A:A,A467)</f>
      </c>
      <c r="I467" t="str">
        <f>SUMIFS(Szamlaszamok!E:E,Szamlaszamok!A:A,Szamlaszamok_nonduplicate!A467)</f>
      </c>
    </row>
    <row r="468" spans="1:9">
      <c r="A468" t="s">
        <v>1712</v>
      </c>
      <c r="B468" t="str">
        <f>VLOOKUP($A468,Szamlaszamok!$A467:F2023,2,FALSE)</f>
      </c>
      <c r="C468" t="str">
        <f>VLOOKUP($A468,Szamlaszamok!$A467:F2023,3,FALSE)</f>
      </c>
      <c r="D468" t="str">
        <f>VLOOKUP($A468,Szamlaszamok!$A467:F2023,4,FALSE)</f>
      </c>
      <c r="E468" t="str">
        <f>DATE(YEAR(D468),MONTH(D468),DAY(D468))</f>
      </c>
      <c r="F468" t="str">
        <f>CONCATENATE(C468,E468)</f>
      </c>
      <c r="G468" t="str">
        <f>TIMEVALUE(D468)</f>
      </c>
      <c r="H468" t="str">
        <f>COUNTIF(Szamlaszamok!A:A,A468)</f>
      </c>
      <c r="I468" t="str">
        <f>SUMIFS(Szamlaszamok!E:E,Szamlaszamok!A:A,Szamlaszamok_nonduplicate!A468)</f>
      </c>
    </row>
    <row r="469" spans="1:9">
      <c r="A469" t="s">
        <v>1717</v>
      </c>
      <c r="B469" t="str">
        <f>VLOOKUP($A469,Szamlaszamok!$A468:F2024,2,FALSE)</f>
      </c>
      <c r="C469" t="str">
        <f>VLOOKUP($A469,Szamlaszamok!$A468:F2024,3,FALSE)</f>
      </c>
      <c r="D469" t="str">
        <f>VLOOKUP($A469,Szamlaszamok!$A468:F2024,4,FALSE)</f>
      </c>
      <c r="E469" t="str">
        <f>DATE(YEAR(D469),MONTH(D469),DAY(D469))</f>
      </c>
      <c r="F469" t="str">
        <f>CONCATENATE(C469,E469)</f>
      </c>
      <c r="G469" t="str">
        <f>TIMEVALUE(D469)</f>
      </c>
      <c r="H469" t="str">
        <f>COUNTIF(Szamlaszamok!A:A,A469)</f>
      </c>
      <c r="I469" t="str">
        <f>SUMIFS(Szamlaszamok!E:E,Szamlaszamok!A:A,Szamlaszamok_nonduplicate!A469)</f>
      </c>
    </row>
    <row r="470" spans="1:9">
      <c r="A470" t="s">
        <v>1722</v>
      </c>
      <c r="B470" t="str">
        <f>VLOOKUP($A470,Szamlaszamok!$A469:F2025,2,FALSE)</f>
      </c>
      <c r="C470" t="str">
        <f>VLOOKUP($A470,Szamlaszamok!$A469:F2025,3,FALSE)</f>
      </c>
      <c r="D470" t="str">
        <f>VLOOKUP($A470,Szamlaszamok!$A469:F2025,4,FALSE)</f>
      </c>
      <c r="E470" t="str">
        <f>DATE(YEAR(D470),MONTH(D470),DAY(D470))</f>
      </c>
      <c r="F470" t="str">
        <f>CONCATENATE(C470,E470)</f>
      </c>
      <c r="G470" t="str">
        <f>TIMEVALUE(D470)</f>
      </c>
      <c r="H470" t="str">
        <f>COUNTIF(Szamlaszamok!A:A,A470)</f>
      </c>
      <c r="I470" t="str">
        <f>SUMIFS(Szamlaszamok!E:E,Szamlaszamok!A:A,Szamlaszamok_nonduplicate!A470)</f>
      </c>
    </row>
    <row r="471" spans="1:9">
      <c r="A471" t="s">
        <v>1725</v>
      </c>
      <c r="B471" t="str">
        <f>VLOOKUP($A471,Szamlaszamok!$A470:F2026,2,FALSE)</f>
      </c>
      <c r="C471" t="str">
        <f>VLOOKUP($A471,Szamlaszamok!$A470:F2026,3,FALSE)</f>
      </c>
      <c r="D471" t="str">
        <f>VLOOKUP($A471,Szamlaszamok!$A470:F2026,4,FALSE)</f>
      </c>
      <c r="E471" t="str">
        <f>DATE(YEAR(D471),MONTH(D471),DAY(D471))</f>
      </c>
      <c r="F471" t="str">
        <f>CONCATENATE(C471,E471)</f>
      </c>
      <c r="G471" t="str">
        <f>TIMEVALUE(D471)</f>
      </c>
      <c r="H471" t="str">
        <f>COUNTIF(Szamlaszamok!A:A,A471)</f>
      </c>
      <c r="I471" t="str">
        <f>SUMIFS(Szamlaszamok!E:E,Szamlaszamok!A:A,Szamlaszamok_nonduplicate!A471)</f>
      </c>
    </row>
    <row r="472" spans="1:9">
      <c r="A472" t="s">
        <v>1729</v>
      </c>
      <c r="B472" t="str">
        <f>VLOOKUP($A472,Szamlaszamok!$A471:F2027,2,FALSE)</f>
      </c>
      <c r="C472" t="str">
        <f>VLOOKUP($A472,Szamlaszamok!$A471:F2027,3,FALSE)</f>
      </c>
      <c r="D472" t="str">
        <f>VLOOKUP($A472,Szamlaszamok!$A471:F2027,4,FALSE)</f>
      </c>
      <c r="E472" t="str">
        <f>DATE(YEAR(D472),MONTH(D472),DAY(D472))</f>
      </c>
      <c r="F472" t="str">
        <f>CONCATENATE(C472,E472)</f>
      </c>
      <c r="G472" t="str">
        <f>TIMEVALUE(D472)</f>
      </c>
      <c r="H472" t="str">
        <f>COUNTIF(Szamlaszamok!A:A,A472)</f>
      </c>
      <c r="I472" t="str">
        <f>SUMIFS(Szamlaszamok!E:E,Szamlaszamok!A:A,Szamlaszamok_nonduplicate!A472)</f>
      </c>
    </row>
    <row r="473" spans="1:9">
      <c r="A473" t="s">
        <v>1731</v>
      </c>
      <c r="B473" t="str">
        <f>VLOOKUP($A473,Szamlaszamok!$A472:F2028,2,FALSE)</f>
      </c>
      <c r="C473" t="str">
        <f>VLOOKUP($A473,Szamlaszamok!$A472:F2028,3,FALSE)</f>
      </c>
      <c r="D473" t="str">
        <f>VLOOKUP($A473,Szamlaszamok!$A472:F2028,4,FALSE)</f>
      </c>
      <c r="E473" t="str">
        <f>DATE(YEAR(D473),MONTH(D473),DAY(D473))</f>
      </c>
      <c r="F473" t="str">
        <f>CONCATENATE(C473,E473)</f>
      </c>
      <c r="G473" t="str">
        <f>TIMEVALUE(D473)</f>
      </c>
      <c r="H473" t="str">
        <f>COUNTIF(Szamlaszamok!A:A,A473)</f>
      </c>
      <c r="I473" t="str">
        <f>SUMIFS(Szamlaszamok!E:E,Szamlaszamok!A:A,Szamlaszamok_nonduplicate!A473)</f>
      </c>
    </row>
    <row r="474" spans="1:9">
      <c r="A474" t="s">
        <v>1734</v>
      </c>
      <c r="B474" t="str">
        <f>VLOOKUP($A474,Szamlaszamok!$A473:F2029,2,FALSE)</f>
      </c>
      <c r="C474" t="str">
        <f>VLOOKUP($A474,Szamlaszamok!$A473:F2029,3,FALSE)</f>
      </c>
      <c r="D474" t="str">
        <f>VLOOKUP($A474,Szamlaszamok!$A473:F2029,4,FALSE)</f>
      </c>
      <c r="E474" t="str">
        <f>DATE(YEAR(D474),MONTH(D474),DAY(D474))</f>
      </c>
      <c r="F474" t="str">
        <f>CONCATENATE(C474,E474)</f>
      </c>
      <c r="G474" t="str">
        <f>TIMEVALUE(D474)</f>
      </c>
      <c r="H474" t="str">
        <f>COUNTIF(Szamlaszamok!A:A,A474)</f>
      </c>
      <c r="I474" t="str">
        <f>SUMIFS(Szamlaszamok!E:E,Szamlaszamok!A:A,Szamlaszamok_nonduplicate!A474)</f>
      </c>
    </row>
    <row r="475" spans="1:9">
      <c r="A475" t="s">
        <v>1740</v>
      </c>
      <c r="B475" t="str">
        <f>VLOOKUP($A475,Szamlaszamok!$A474:F2030,2,FALSE)</f>
      </c>
      <c r="C475" t="str">
        <f>VLOOKUP($A475,Szamlaszamok!$A474:F2030,3,FALSE)</f>
      </c>
      <c r="D475" t="str">
        <f>VLOOKUP($A475,Szamlaszamok!$A474:F2030,4,FALSE)</f>
      </c>
      <c r="E475" t="str">
        <f>DATE(YEAR(D475),MONTH(D475),DAY(D475))</f>
      </c>
      <c r="F475" t="str">
        <f>CONCATENATE(C475,E475)</f>
      </c>
      <c r="G475" t="str">
        <f>TIMEVALUE(D475)</f>
      </c>
      <c r="H475" t="str">
        <f>COUNTIF(Szamlaszamok!A:A,A475)</f>
      </c>
      <c r="I475" t="str">
        <f>SUMIFS(Szamlaszamok!E:E,Szamlaszamok!A:A,Szamlaszamok_nonduplicate!A475)</f>
      </c>
    </row>
    <row r="476" spans="1:9">
      <c r="A476" t="s">
        <v>1745</v>
      </c>
      <c r="B476" t="str">
        <f>VLOOKUP($A476,Szamlaszamok!$A475:F2031,2,FALSE)</f>
      </c>
      <c r="C476" t="str">
        <f>VLOOKUP($A476,Szamlaszamok!$A475:F2031,3,FALSE)</f>
      </c>
      <c r="D476" t="str">
        <f>VLOOKUP($A476,Szamlaszamok!$A475:F2031,4,FALSE)</f>
      </c>
      <c r="E476" t="str">
        <f>DATE(YEAR(D476),MONTH(D476),DAY(D476))</f>
      </c>
      <c r="F476" t="str">
        <f>CONCATENATE(C476,E476)</f>
      </c>
      <c r="G476" t="str">
        <f>TIMEVALUE(D476)</f>
      </c>
      <c r="H476" t="str">
        <f>COUNTIF(Szamlaszamok!A:A,A476)</f>
      </c>
      <c r="I476" t="str">
        <f>SUMIFS(Szamlaszamok!E:E,Szamlaszamok!A:A,Szamlaszamok_nonduplicate!A476)</f>
      </c>
    </row>
    <row r="477" spans="1:9">
      <c r="A477" t="s">
        <v>1749</v>
      </c>
      <c r="B477" t="str">
        <f>VLOOKUP($A477,Szamlaszamok!$A476:F2032,2,FALSE)</f>
      </c>
      <c r="C477" t="str">
        <f>VLOOKUP($A477,Szamlaszamok!$A476:F2032,3,FALSE)</f>
      </c>
      <c r="D477" t="str">
        <f>VLOOKUP($A477,Szamlaszamok!$A476:F2032,4,FALSE)</f>
      </c>
      <c r="E477" t="str">
        <f>DATE(YEAR(D477),MONTH(D477),DAY(D477))</f>
      </c>
      <c r="F477" t="str">
        <f>CONCATENATE(C477,E477)</f>
      </c>
      <c r="G477" t="str">
        <f>TIMEVALUE(D477)</f>
      </c>
      <c r="H477" t="str">
        <f>COUNTIF(Szamlaszamok!A:A,A477)</f>
      </c>
      <c r="I477" t="str">
        <f>SUMIFS(Szamlaszamok!E:E,Szamlaszamok!A:A,Szamlaszamok_nonduplicate!A477)</f>
      </c>
    </row>
    <row r="478" spans="1:9">
      <c r="A478" t="s">
        <v>1754</v>
      </c>
      <c r="B478" t="str">
        <f>VLOOKUP($A478,Szamlaszamok!$A477:F2033,2,FALSE)</f>
      </c>
      <c r="C478" t="str">
        <f>VLOOKUP($A478,Szamlaszamok!$A477:F2033,3,FALSE)</f>
      </c>
      <c r="D478" t="str">
        <f>VLOOKUP($A478,Szamlaszamok!$A477:F2033,4,FALSE)</f>
      </c>
      <c r="E478" t="str">
        <f>DATE(YEAR(D478),MONTH(D478),DAY(D478))</f>
      </c>
      <c r="F478" t="str">
        <f>CONCATENATE(C478,E478)</f>
      </c>
      <c r="G478" t="str">
        <f>TIMEVALUE(D478)</f>
      </c>
      <c r="H478" t="str">
        <f>COUNTIF(Szamlaszamok!A:A,A478)</f>
      </c>
      <c r="I478" t="str">
        <f>SUMIFS(Szamlaszamok!E:E,Szamlaszamok!A:A,Szamlaszamok_nonduplicate!A478)</f>
      </c>
    </row>
    <row r="479" spans="1:9">
      <c r="A479" t="s">
        <v>1757</v>
      </c>
      <c r="B479" t="str">
        <f>VLOOKUP($A479,Szamlaszamok!$A478:F2034,2,FALSE)</f>
      </c>
      <c r="C479" t="str">
        <f>VLOOKUP($A479,Szamlaszamok!$A478:F2034,3,FALSE)</f>
      </c>
      <c r="D479" t="str">
        <f>VLOOKUP($A479,Szamlaszamok!$A478:F2034,4,FALSE)</f>
      </c>
      <c r="E479" t="str">
        <f>DATE(YEAR(D479),MONTH(D479),DAY(D479))</f>
      </c>
      <c r="F479" t="str">
        <f>CONCATENATE(C479,E479)</f>
      </c>
      <c r="G479" t="str">
        <f>TIMEVALUE(D479)</f>
      </c>
      <c r="H479" t="str">
        <f>COUNTIF(Szamlaszamok!A:A,A479)</f>
      </c>
      <c r="I479" t="str">
        <f>SUMIFS(Szamlaszamok!E:E,Szamlaszamok!A:A,Szamlaszamok_nonduplicate!A479)</f>
      </c>
    </row>
    <row r="480" spans="1:9">
      <c r="A480" t="s">
        <v>1761</v>
      </c>
      <c r="B480" t="str">
        <f>VLOOKUP($A480,Szamlaszamok!$A479:F2035,2,FALSE)</f>
      </c>
      <c r="C480" t="str">
        <f>VLOOKUP($A480,Szamlaszamok!$A479:F2035,3,FALSE)</f>
      </c>
      <c r="D480" t="str">
        <f>VLOOKUP($A480,Szamlaszamok!$A479:F2035,4,FALSE)</f>
      </c>
      <c r="E480" t="str">
        <f>DATE(YEAR(D480),MONTH(D480),DAY(D480))</f>
      </c>
      <c r="F480" t="str">
        <f>CONCATENATE(C480,E480)</f>
      </c>
      <c r="G480" t="str">
        <f>TIMEVALUE(D480)</f>
      </c>
      <c r="H480" t="str">
        <f>COUNTIF(Szamlaszamok!A:A,A480)</f>
      </c>
      <c r="I480" t="str">
        <f>SUMIFS(Szamlaszamok!E:E,Szamlaszamok!A:A,Szamlaszamok_nonduplicate!A480)</f>
      </c>
    </row>
    <row r="481" spans="1:9">
      <c r="A481" t="s">
        <v>1765</v>
      </c>
      <c r="B481" t="str">
        <f>VLOOKUP($A481,Szamlaszamok!$A480:F2036,2,FALSE)</f>
      </c>
      <c r="C481" t="str">
        <f>VLOOKUP($A481,Szamlaszamok!$A480:F2036,3,FALSE)</f>
      </c>
      <c r="D481" t="str">
        <f>VLOOKUP($A481,Szamlaszamok!$A480:F2036,4,FALSE)</f>
      </c>
      <c r="E481" t="str">
        <f>DATE(YEAR(D481),MONTH(D481),DAY(D481))</f>
      </c>
      <c r="F481" t="str">
        <f>CONCATENATE(C481,E481)</f>
      </c>
      <c r="G481" t="str">
        <f>TIMEVALUE(D481)</f>
      </c>
      <c r="H481" t="str">
        <f>COUNTIF(Szamlaszamok!A:A,A481)</f>
      </c>
      <c r="I481" t="str">
        <f>SUMIFS(Szamlaszamok!E:E,Szamlaszamok!A:A,Szamlaszamok_nonduplicate!A481)</f>
      </c>
    </row>
    <row r="482" spans="1:9">
      <c r="A482" t="s">
        <v>1769</v>
      </c>
      <c r="B482" t="str">
        <f>VLOOKUP($A482,Szamlaszamok!$A481:F2037,2,FALSE)</f>
      </c>
      <c r="C482" t="str">
        <f>VLOOKUP($A482,Szamlaszamok!$A481:F2037,3,FALSE)</f>
      </c>
      <c r="D482" t="str">
        <f>VLOOKUP($A482,Szamlaszamok!$A481:F2037,4,FALSE)</f>
      </c>
      <c r="E482" t="str">
        <f>DATE(YEAR(D482),MONTH(D482),DAY(D482))</f>
      </c>
      <c r="F482" t="str">
        <f>CONCATENATE(C482,E482)</f>
      </c>
      <c r="G482" t="str">
        <f>TIMEVALUE(D482)</f>
      </c>
      <c r="H482" t="str">
        <f>COUNTIF(Szamlaszamok!A:A,A482)</f>
      </c>
      <c r="I482" t="str">
        <f>SUMIFS(Szamlaszamok!E:E,Szamlaszamok!A:A,Szamlaszamok_nonduplicate!A482)</f>
      </c>
    </row>
    <row r="483" spans="1:9">
      <c r="A483" t="s">
        <v>1773</v>
      </c>
      <c r="B483" t="str">
        <f>VLOOKUP($A483,Szamlaszamok!$A482:F2038,2,FALSE)</f>
      </c>
      <c r="C483" t="str">
        <f>VLOOKUP($A483,Szamlaszamok!$A482:F2038,3,FALSE)</f>
      </c>
      <c r="D483" t="str">
        <f>VLOOKUP($A483,Szamlaszamok!$A482:F2038,4,FALSE)</f>
      </c>
      <c r="E483" t="str">
        <f>DATE(YEAR(D483),MONTH(D483),DAY(D483))</f>
      </c>
      <c r="F483" t="str">
        <f>CONCATENATE(C483,E483)</f>
      </c>
      <c r="G483" t="str">
        <f>TIMEVALUE(D483)</f>
      </c>
      <c r="H483" t="str">
        <f>COUNTIF(Szamlaszamok!A:A,A483)</f>
      </c>
      <c r="I483" t="str">
        <f>SUMIFS(Szamlaszamok!E:E,Szamlaszamok!A:A,Szamlaszamok_nonduplicate!A483)</f>
      </c>
    </row>
    <row r="484" spans="1:9">
      <c r="A484" t="s">
        <v>1777</v>
      </c>
      <c r="B484" t="str">
        <f>VLOOKUP($A484,Szamlaszamok!$A483:F2039,2,FALSE)</f>
      </c>
      <c r="C484" t="str">
        <f>VLOOKUP($A484,Szamlaszamok!$A483:F2039,3,FALSE)</f>
      </c>
      <c r="D484" t="str">
        <f>VLOOKUP($A484,Szamlaszamok!$A483:F2039,4,FALSE)</f>
      </c>
      <c r="E484" t="str">
        <f>DATE(YEAR(D484),MONTH(D484),DAY(D484))</f>
      </c>
      <c r="F484" t="str">
        <f>CONCATENATE(C484,E484)</f>
      </c>
      <c r="G484" t="str">
        <f>TIMEVALUE(D484)</f>
      </c>
      <c r="H484" t="str">
        <f>COUNTIF(Szamlaszamok!A:A,A484)</f>
      </c>
      <c r="I484" t="str">
        <f>SUMIFS(Szamlaszamok!E:E,Szamlaszamok!A:A,Szamlaszamok_nonduplicate!A484)</f>
      </c>
    </row>
    <row r="485" spans="1:9">
      <c r="A485" t="s">
        <v>1781</v>
      </c>
      <c r="B485" t="str">
        <f>VLOOKUP($A485,Szamlaszamok!$A484:F2040,2,FALSE)</f>
      </c>
      <c r="C485" t="str">
        <f>VLOOKUP($A485,Szamlaszamok!$A484:F2040,3,FALSE)</f>
      </c>
      <c r="D485" t="str">
        <f>VLOOKUP($A485,Szamlaszamok!$A484:F2040,4,FALSE)</f>
      </c>
      <c r="E485" t="str">
        <f>DATE(YEAR(D485),MONTH(D485),DAY(D485))</f>
      </c>
      <c r="F485" t="str">
        <f>CONCATENATE(C485,E485)</f>
      </c>
      <c r="G485" t="str">
        <f>TIMEVALUE(D485)</f>
      </c>
      <c r="H485" t="str">
        <f>COUNTIF(Szamlaszamok!A:A,A485)</f>
      </c>
      <c r="I485" t="str">
        <f>SUMIFS(Szamlaszamok!E:E,Szamlaszamok!A:A,Szamlaszamok_nonduplicate!A485)</f>
      </c>
    </row>
    <row r="486" spans="1:9">
      <c r="A486" t="s">
        <v>1785</v>
      </c>
      <c r="B486" t="str">
        <f>VLOOKUP($A486,Szamlaszamok!$A485:F2041,2,FALSE)</f>
      </c>
      <c r="C486" t="str">
        <f>VLOOKUP($A486,Szamlaszamok!$A485:F2041,3,FALSE)</f>
      </c>
      <c r="D486" t="str">
        <f>VLOOKUP($A486,Szamlaszamok!$A485:F2041,4,FALSE)</f>
      </c>
      <c r="E486" t="str">
        <f>DATE(YEAR(D486),MONTH(D486),DAY(D486))</f>
      </c>
      <c r="F486" t="str">
        <f>CONCATENATE(C486,E486)</f>
      </c>
      <c r="G486" t="str">
        <f>TIMEVALUE(D486)</f>
      </c>
      <c r="H486" t="str">
        <f>COUNTIF(Szamlaszamok!A:A,A486)</f>
      </c>
      <c r="I486" t="str">
        <f>SUMIFS(Szamlaszamok!E:E,Szamlaszamok!A:A,Szamlaszamok_nonduplicate!A486)</f>
      </c>
    </row>
    <row r="487" spans="1:9">
      <c r="A487" t="s">
        <v>1789</v>
      </c>
      <c r="B487" t="str">
        <f>VLOOKUP($A487,Szamlaszamok!$A486:F2042,2,FALSE)</f>
      </c>
      <c r="C487" t="str">
        <f>VLOOKUP($A487,Szamlaszamok!$A486:F2042,3,FALSE)</f>
      </c>
      <c r="D487" t="str">
        <f>VLOOKUP($A487,Szamlaszamok!$A486:F2042,4,FALSE)</f>
      </c>
      <c r="E487" t="str">
        <f>DATE(YEAR(D487),MONTH(D487),DAY(D487))</f>
      </c>
      <c r="F487" t="str">
        <f>CONCATENATE(C487,E487)</f>
      </c>
      <c r="G487" t="str">
        <f>TIMEVALUE(D487)</f>
      </c>
      <c r="H487" t="str">
        <f>COUNTIF(Szamlaszamok!A:A,A487)</f>
      </c>
      <c r="I487" t="str">
        <f>SUMIFS(Szamlaszamok!E:E,Szamlaszamok!A:A,Szamlaszamok_nonduplicate!A487)</f>
      </c>
    </row>
    <row r="488" spans="1:9">
      <c r="A488" t="s">
        <v>1793</v>
      </c>
      <c r="B488" t="str">
        <f>VLOOKUP($A488,Szamlaszamok!$A487:F2043,2,FALSE)</f>
      </c>
      <c r="C488" t="str">
        <f>VLOOKUP($A488,Szamlaszamok!$A487:F2043,3,FALSE)</f>
      </c>
      <c r="D488" t="str">
        <f>VLOOKUP($A488,Szamlaszamok!$A487:F2043,4,FALSE)</f>
      </c>
      <c r="E488" t="str">
        <f>DATE(YEAR(D488),MONTH(D488),DAY(D488))</f>
      </c>
      <c r="F488" t="str">
        <f>CONCATENATE(C488,E488)</f>
      </c>
      <c r="G488" t="str">
        <f>TIMEVALUE(D488)</f>
      </c>
      <c r="H488" t="str">
        <f>COUNTIF(Szamlaszamok!A:A,A488)</f>
      </c>
      <c r="I488" t="str">
        <f>SUMIFS(Szamlaszamok!E:E,Szamlaszamok!A:A,Szamlaszamok_nonduplicate!A488)</f>
      </c>
    </row>
    <row r="489" spans="1:9">
      <c r="A489" t="s">
        <v>1797</v>
      </c>
      <c r="B489" t="str">
        <f>VLOOKUP($A489,Szamlaszamok!$A488:F2044,2,FALSE)</f>
      </c>
      <c r="C489" t="str">
        <f>VLOOKUP($A489,Szamlaszamok!$A488:F2044,3,FALSE)</f>
      </c>
      <c r="D489" t="str">
        <f>VLOOKUP($A489,Szamlaszamok!$A488:F2044,4,FALSE)</f>
      </c>
      <c r="E489" t="str">
        <f>DATE(YEAR(D489),MONTH(D489),DAY(D489))</f>
      </c>
      <c r="F489" t="str">
        <f>CONCATENATE(C489,E489)</f>
      </c>
      <c r="G489" t="str">
        <f>TIMEVALUE(D489)</f>
      </c>
      <c r="H489" t="str">
        <f>COUNTIF(Szamlaszamok!A:A,A489)</f>
      </c>
      <c r="I489" t="str">
        <f>SUMIFS(Szamlaszamok!E:E,Szamlaszamok!A:A,Szamlaszamok_nonduplicate!A489)</f>
      </c>
    </row>
    <row r="490" spans="1:9">
      <c r="A490" t="s">
        <v>1801</v>
      </c>
      <c r="B490" t="str">
        <f>VLOOKUP($A490,Szamlaszamok!$A489:F2045,2,FALSE)</f>
      </c>
      <c r="C490" t="str">
        <f>VLOOKUP($A490,Szamlaszamok!$A489:F2045,3,FALSE)</f>
      </c>
      <c r="D490" t="str">
        <f>VLOOKUP($A490,Szamlaszamok!$A489:F2045,4,FALSE)</f>
      </c>
      <c r="E490" t="str">
        <f>DATE(YEAR(D490),MONTH(D490),DAY(D490))</f>
      </c>
      <c r="F490" t="str">
        <f>CONCATENATE(C490,E490)</f>
      </c>
      <c r="G490" t="str">
        <f>TIMEVALUE(D490)</f>
      </c>
      <c r="H490" t="str">
        <f>COUNTIF(Szamlaszamok!A:A,A490)</f>
      </c>
      <c r="I490" t="str">
        <f>SUMIFS(Szamlaszamok!E:E,Szamlaszamok!A:A,Szamlaszamok_nonduplicate!A490)</f>
      </c>
    </row>
    <row r="491" spans="1:9">
      <c r="A491" t="s">
        <v>1805</v>
      </c>
      <c r="B491" t="str">
        <f>VLOOKUP($A491,Szamlaszamok!$A490:F2046,2,FALSE)</f>
      </c>
      <c r="C491" t="str">
        <f>VLOOKUP($A491,Szamlaszamok!$A490:F2046,3,FALSE)</f>
      </c>
      <c r="D491" t="str">
        <f>VLOOKUP($A491,Szamlaszamok!$A490:F2046,4,FALSE)</f>
      </c>
      <c r="E491" t="str">
        <f>DATE(YEAR(D491),MONTH(D491),DAY(D491))</f>
      </c>
      <c r="F491" t="str">
        <f>CONCATENATE(C491,E491)</f>
      </c>
      <c r="G491" t="str">
        <f>TIMEVALUE(D491)</f>
      </c>
      <c r="H491" t="str">
        <f>COUNTIF(Szamlaszamok!A:A,A491)</f>
      </c>
      <c r="I491" t="str">
        <f>SUMIFS(Szamlaszamok!E:E,Szamlaszamok!A:A,Szamlaszamok_nonduplicate!A491)</f>
      </c>
    </row>
    <row r="492" spans="1:9">
      <c r="A492" t="s">
        <v>1809</v>
      </c>
      <c r="B492" t="str">
        <f>VLOOKUP($A492,Szamlaszamok!$A491:F2047,2,FALSE)</f>
      </c>
      <c r="C492" t="str">
        <f>VLOOKUP($A492,Szamlaszamok!$A491:F2047,3,FALSE)</f>
      </c>
      <c r="D492" t="str">
        <f>VLOOKUP($A492,Szamlaszamok!$A491:F2047,4,FALSE)</f>
      </c>
      <c r="E492" t="str">
        <f>DATE(YEAR(D492),MONTH(D492),DAY(D492))</f>
      </c>
      <c r="F492" t="str">
        <f>CONCATENATE(C492,E492)</f>
      </c>
      <c r="G492" t="str">
        <f>TIMEVALUE(D492)</f>
      </c>
      <c r="H492" t="str">
        <f>COUNTIF(Szamlaszamok!A:A,A492)</f>
      </c>
      <c r="I492" t="str">
        <f>SUMIFS(Szamlaszamok!E:E,Szamlaszamok!A:A,Szamlaszamok_nonduplicate!A492)</f>
      </c>
    </row>
    <row r="493" spans="1:9">
      <c r="A493" t="s">
        <v>1812</v>
      </c>
      <c r="B493" t="str">
        <f>VLOOKUP($A493,Szamlaszamok!$A492:F2048,2,FALSE)</f>
      </c>
      <c r="C493" t="str">
        <f>VLOOKUP($A493,Szamlaszamok!$A492:F2048,3,FALSE)</f>
      </c>
      <c r="D493" t="str">
        <f>VLOOKUP($A493,Szamlaszamok!$A492:F2048,4,FALSE)</f>
      </c>
      <c r="E493" t="str">
        <f>DATE(YEAR(D493),MONTH(D493),DAY(D493))</f>
      </c>
      <c r="F493" t="str">
        <f>CONCATENATE(C493,E493)</f>
      </c>
      <c r="G493" t="str">
        <f>TIMEVALUE(D493)</f>
      </c>
      <c r="H493" t="str">
        <f>COUNTIF(Szamlaszamok!A:A,A493)</f>
      </c>
      <c r="I493" t="str">
        <f>SUMIFS(Szamlaszamok!E:E,Szamlaszamok!A:A,Szamlaszamok_nonduplicate!A493)</f>
      </c>
    </row>
    <row r="494" spans="1:9">
      <c r="A494" t="s">
        <v>1816</v>
      </c>
      <c r="B494" t="str">
        <f>VLOOKUP($A494,Szamlaszamok!$A493:F2049,2,FALSE)</f>
      </c>
      <c r="C494" t="str">
        <f>VLOOKUP($A494,Szamlaszamok!$A493:F2049,3,FALSE)</f>
      </c>
      <c r="D494" t="str">
        <f>VLOOKUP($A494,Szamlaszamok!$A493:F2049,4,FALSE)</f>
      </c>
      <c r="E494" t="str">
        <f>DATE(YEAR(D494),MONTH(D494),DAY(D494))</f>
      </c>
      <c r="F494" t="str">
        <f>CONCATENATE(C494,E494)</f>
      </c>
      <c r="G494" t="str">
        <f>TIMEVALUE(D494)</f>
      </c>
      <c r="H494" t="str">
        <f>COUNTIF(Szamlaszamok!A:A,A494)</f>
      </c>
      <c r="I494" t="str">
        <f>SUMIFS(Szamlaszamok!E:E,Szamlaszamok!A:A,Szamlaszamok_nonduplicate!A494)</f>
      </c>
    </row>
    <row r="495" spans="1:9">
      <c r="A495" t="s">
        <v>1820</v>
      </c>
      <c r="B495" t="str">
        <f>VLOOKUP($A495,Szamlaszamok!$A494:F2050,2,FALSE)</f>
      </c>
      <c r="C495" t="str">
        <f>VLOOKUP($A495,Szamlaszamok!$A494:F2050,3,FALSE)</f>
      </c>
      <c r="D495" t="str">
        <f>VLOOKUP($A495,Szamlaszamok!$A494:F2050,4,FALSE)</f>
      </c>
      <c r="E495" t="str">
        <f>DATE(YEAR(D495),MONTH(D495),DAY(D495))</f>
      </c>
      <c r="F495" t="str">
        <f>CONCATENATE(C495,E495)</f>
      </c>
      <c r="G495" t="str">
        <f>TIMEVALUE(D495)</f>
      </c>
      <c r="H495" t="str">
        <f>COUNTIF(Szamlaszamok!A:A,A495)</f>
      </c>
      <c r="I495" t="str">
        <f>SUMIFS(Szamlaszamok!E:E,Szamlaszamok!A:A,Szamlaszamok_nonduplicate!A495)</f>
      </c>
    </row>
    <row r="496" spans="1:9">
      <c r="A496" t="s">
        <v>1822</v>
      </c>
      <c r="B496" t="str">
        <f>VLOOKUP($A496,Szamlaszamok!$A495:F2051,2,FALSE)</f>
      </c>
      <c r="C496" t="str">
        <f>VLOOKUP($A496,Szamlaszamok!$A495:F2051,3,FALSE)</f>
      </c>
      <c r="D496" t="str">
        <f>VLOOKUP($A496,Szamlaszamok!$A495:F2051,4,FALSE)</f>
      </c>
      <c r="E496" t="str">
        <f>DATE(YEAR(D496),MONTH(D496),DAY(D496))</f>
      </c>
      <c r="F496" t="str">
        <f>CONCATENATE(C496,E496)</f>
      </c>
      <c r="G496" t="str">
        <f>TIMEVALUE(D496)</f>
      </c>
      <c r="H496" t="str">
        <f>COUNTIF(Szamlaszamok!A:A,A496)</f>
      </c>
      <c r="I496" t="str">
        <f>SUMIFS(Szamlaszamok!E:E,Szamlaszamok!A:A,Szamlaszamok_nonduplicate!A496)</f>
      </c>
    </row>
    <row r="497" spans="1:9">
      <c r="A497" t="s">
        <v>1826</v>
      </c>
      <c r="B497" t="str">
        <f>VLOOKUP($A497,Szamlaszamok!$A496:F2052,2,FALSE)</f>
      </c>
      <c r="C497" t="str">
        <f>VLOOKUP($A497,Szamlaszamok!$A496:F2052,3,FALSE)</f>
      </c>
      <c r="D497" t="str">
        <f>VLOOKUP($A497,Szamlaszamok!$A496:F2052,4,FALSE)</f>
      </c>
      <c r="E497" t="str">
        <f>DATE(YEAR(D497),MONTH(D497),DAY(D497))</f>
      </c>
      <c r="F497" t="str">
        <f>CONCATENATE(C497,E497)</f>
      </c>
      <c r="G497" t="str">
        <f>TIMEVALUE(D497)</f>
      </c>
      <c r="H497" t="str">
        <f>COUNTIF(Szamlaszamok!A:A,A497)</f>
      </c>
      <c r="I497" t="str">
        <f>SUMIFS(Szamlaszamok!E:E,Szamlaszamok!A:A,Szamlaszamok_nonduplicate!A497)</f>
      </c>
    </row>
    <row r="498" spans="1:9">
      <c r="A498" t="s">
        <v>1829</v>
      </c>
      <c r="B498" t="str">
        <f>VLOOKUP($A498,Szamlaszamok!$A497:F2053,2,FALSE)</f>
      </c>
      <c r="C498" t="str">
        <f>VLOOKUP($A498,Szamlaszamok!$A497:F2053,3,FALSE)</f>
      </c>
      <c r="D498" t="str">
        <f>VLOOKUP($A498,Szamlaszamok!$A497:F2053,4,FALSE)</f>
      </c>
      <c r="E498" t="str">
        <f>DATE(YEAR(D498),MONTH(D498),DAY(D498))</f>
      </c>
      <c r="F498" t="str">
        <f>CONCATENATE(C498,E498)</f>
      </c>
      <c r="G498" t="str">
        <f>TIMEVALUE(D498)</f>
      </c>
      <c r="H498" t="str">
        <f>COUNTIF(Szamlaszamok!A:A,A498)</f>
      </c>
      <c r="I498" t="str">
        <f>SUMIFS(Szamlaszamok!E:E,Szamlaszamok!A:A,Szamlaszamok_nonduplicate!A498)</f>
      </c>
    </row>
    <row r="499" spans="1:9">
      <c r="A499" t="s">
        <v>1833</v>
      </c>
      <c r="B499" t="str">
        <f>VLOOKUP($A499,Szamlaszamok!$A498:F2054,2,FALSE)</f>
      </c>
      <c r="C499" t="str">
        <f>VLOOKUP($A499,Szamlaszamok!$A498:F2054,3,FALSE)</f>
      </c>
      <c r="D499" t="str">
        <f>VLOOKUP($A499,Szamlaszamok!$A498:F2054,4,FALSE)</f>
      </c>
      <c r="E499" t="str">
        <f>DATE(YEAR(D499),MONTH(D499),DAY(D499))</f>
      </c>
      <c r="F499" t="str">
        <f>CONCATENATE(C499,E499)</f>
      </c>
      <c r="G499" t="str">
        <f>TIMEVALUE(D499)</f>
      </c>
      <c r="H499" t="str">
        <f>COUNTIF(Szamlaszamok!A:A,A499)</f>
      </c>
      <c r="I499" t="str">
        <f>SUMIFS(Szamlaszamok!E:E,Szamlaszamok!A:A,Szamlaszamok_nonduplicate!A499)</f>
      </c>
    </row>
    <row r="500" spans="1:9">
      <c r="A500" t="s">
        <v>1835</v>
      </c>
      <c r="B500" t="str">
        <f>VLOOKUP($A500,Szamlaszamok!$A499:F2055,2,FALSE)</f>
      </c>
      <c r="C500" t="str">
        <f>VLOOKUP($A500,Szamlaszamok!$A499:F2055,3,FALSE)</f>
      </c>
      <c r="D500" t="str">
        <f>VLOOKUP($A500,Szamlaszamok!$A499:F2055,4,FALSE)</f>
      </c>
      <c r="E500" t="str">
        <f>DATE(YEAR(D500),MONTH(D500),DAY(D500))</f>
      </c>
      <c r="F500" t="str">
        <f>CONCATENATE(C500,E500)</f>
      </c>
      <c r="G500" t="str">
        <f>TIMEVALUE(D500)</f>
      </c>
      <c r="H500" t="str">
        <f>COUNTIF(Szamlaszamok!A:A,A500)</f>
      </c>
      <c r="I500" t="str">
        <f>SUMIFS(Szamlaszamok!E:E,Szamlaszamok!A:A,Szamlaszamok_nonduplicate!A500)</f>
      </c>
    </row>
    <row r="501" spans="1:9">
      <c r="A501" t="s">
        <v>1838</v>
      </c>
      <c r="B501" t="str">
        <f>VLOOKUP($A501,Szamlaszamok!$A500:F2056,2,FALSE)</f>
      </c>
      <c r="C501" t="str">
        <f>VLOOKUP($A501,Szamlaszamok!$A500:F2056,3,FALSE)</f>
      </c>
      <c r="D501" t="str">
        <f>VLOOKUP($A501,Szamlaszamok!$A500:F2056,4,FALSE)</f>
      </c>
      <c r="E501" t="str">
        <f>DATE(YEAR(D501),MONTH(D501),DAY(D501))</f>
      </c>
      <c r="F501" t="str">
        <f>CONCATENATE(C501,E501)</f>
      </c>
      <c r="G501" t="str">
        <f>TIMEVALUE(D501)</f>
      </c>
      <c r="H501" t="str">
        <f>COUNTIF(Szamlaszamok!A:A,A501)</f>
      </c>
      <c r="I501" t="str">
        <f>SUMIFS(Szamlaszamok!E:E,Szamlaszamok!A:A,Szamlaszamok_nonduplicate!A501)</f>
      </c>
    </row>
    <row r="502" spans="1:9">
      <c r="A502" t="s">
        <v>1842</v>
      </c>
      <c r="B502" t="str">
        <f>VLOOKUP($A502,Szamlaszamok!$A501:F2057,2,FALSE)</f>
      </c>
      <c r="C502" t="str">
        <f>VLOOKUP($A502,Szamlaszamok!$A501:F2057,3,FALSE)</f>
      </c>
      <c r="D502" t="str">
        <f>VLOOKUP($A502,Szamlaszamok!$A501:F2057,4,FALSE)</f>
      </c>
      <c r="E502" t="str">
        <f>DATE(YEAR(D502),MONTH(D502),DAY(D502))</f>
      </c>
      <c r="F502" t="str">
        <f>CONCATENATE(C502,E502)</f>
      </c>
      <c r="G502" t="str">
        <f>TIMEVALUE(D502)</f>
      </c>
      <c r="H502" t="str">
        <f>COUNTIF(Szamlaszamok!A:A,A502)</f>
      </c>
      <c r="I502" t="str">
        <f>SUMIFS(Szamlaszamok!E:E,Szamlaszamok!A:A,Szamlaszamok_nonduplicate!A502)</f>
      </c>
    </row>
    <row r="503" spans="1:9">
      <c r="A503" t="s">
        <v>1846</v>
      </c>
      <c r="B503" t="str">
        <f>VLOOKUP($A503,Szamlaszamok!$A502:F2058,2,FALSE)</f>
      </c>
      <c r="C503" t="str">
        <f>VLOOKUP($A503,Szamlaszamok!$A502:F2058,3,FALSE)</f>
      </c>
      <c r="D503" t="str">
        <f>VLOOKUP($A503,Szamlaszamok!$A502:F2058,4,FALSE)</f>
      </c>
      <c r="E503" t="str">
        <f>DATE(YEAR(D503),MONTH(D503),DAY(D503))</f>
      </c>
      <c r="F503" t="str">
        <f>CONCATENATE(C503,E503)</f>
      </c>
      <c r="G503" t="str">
        <f>TIMEVALUE(D503)</f>
      </c>
      <c r="H503" t="str">
        <f>COUNTIF(Szamlaszamok!A:A,A503)</f>
      </c>
      <c r="I503" t="str">
        <f>SUMIFS(Szamlaszamok!E:E,Szamlaszamok!A:A,Szamlaszamok_nonduplicate!A503)</f>
      </c>
    </row>
    <row r="504" spans="1:9">
      <c r="A504" t="s">
        <v>1850</v>
      </c>
      <c r="B504" t="str">
        <f>VLOOKUP($A504,Szamlaszamok!$A503:F2059,2,FALSE)</f>
      </c>
      <c r="C504" t="str">
        <f>VLOOKUP($A504,Szamlaszamok!$A503:F2059,3,FALSE)</f>
      </c>
      <c r="D504" t="str">
        <f>VLOOKUP($A504,Szamlaszamok!$A503:F2059,4,FALSE)</f>
      </c>
      <c r="E504" t="str">
        <f>DATE(YEAR(D504),MONTH(D504),DAY(D504))</f>
      </c>
      <c r="F504" t="str">
        <f>CONCATENATE(C504,E504)</f>
      </c>
      <c r="G504" t="str">
        <f>TIMEVALUE(D504)</f>
      </c>
      <c r="H504" t="str">
        <f>COUNTIF(Szamlaszamok!A:A,A504)</f>
      </c>
      <c r="I504" t="str">
        <f>SUMIFS(Szamlaszamok!E:E,Szamlaszamok!A:A,Szamlaszamok_nonduplicate!A504)</f>
      </c>
    </row>
    <row r="505" spans="1:9">
      <c r="A505" t="s">
        <v>1852</v>
      </c>
      <c r="B505" t="str">
        <f>VLOOKUP($A505,Szamlaszamok!$A504:F2060,2,FALSE)</f>
      </c>
      <c r="C505" t="str">
        <f>VLOOKUP($A505,Szamlaszamok!$A504:F2060,3,FALSE)</f>
      </c>
      <c r="D505" t="str">
        <f>VLOOKUP($A505,Szamlaszamok!$A504:F2060,4,FALSE)</f>
      </c>
      <c r="E505" t="str">
        <f>DATE(YEAR(D505),MONTH(D505),DAY(D505))</f>
      </c>
      <c r="F505" t="str">
        <f>CONCATENATE(C505,E505)</f>
      </c>
      <c r="G505" t="str">
        <f>TIMEVALUE(D505)</f>
      </c>
      <c r="H505" t="str">
        <f>COUNTIF(Szamlaszamok!A:A,A505)</f>
      </c>
      <c r="I505" t="str">
        <f>SUMIFS(Szamlaszamok!E:E,Szamlaszamok!A:A,Szamlaszamok_nonduplicate!A505)</f>
      </c>
    </row>
    <row r="506" spans="1:9">
      <c r="A506" t="s">
        <v>1856</v>
      </c>
      <c r="B506" t="str">
        <f>VLOOKUP($A506,Szamlaszamok!$A505:F2061,2,FALSE)</f>
      </c>
      <c r="C506" t="str">
        <f>VLOOKUP($A506,Szamlaszamok!$A505:F2061,3,FALSE)</f>
      </c>
      <c r="D506" t="str">
        <f>VLOOKUP($A506,Szamlaszamok!$A505:F2061,4,FALSE)</f>
      </c>
      <c r="E506" t="str">
        <f>DATE(YEAR(D506),MONTH(D506),DAY(D506))</f>
      </c>
      <c r="F506" t="str">
        <f>CONCATENATE(C506,E506)</f>
      </c>
      <c r="G506" t="str">
        <f>TIMEVALUE(D506)</f>
      </c>
      <c r="H506" t="str">
        <f>COUNTIF(Szamlaszamok!A:A,A506)</f>
      </c>
      <c r="I506" t="str">
        <f>SUMIFS(Szamlaszamok!E:E,Szamlaszamok!A:A,Szamlaszamok_nonduplicate!A506)</f>
      </c>
    </row>
    <row r="507" spans="1:9">
      <c r="A507" t="s">
        <v>1859</v>
      </c>
      <c r="B507" t="str">
        <f>VLOOKUP($A507,Szamlaszamok!$A506:F2062,2,FALSE)</f>
      </c>
      <c r="C507" t="str">
        <f>VLOOKUP($A507,Szamlaszamok!$A506:F2062,3,FALSE)</f>
      </c>
      <c r="D507" t="str">
        <f>VLOOKUP($A507,Szamlaszamok!$A506:F2062,4,FALSE)</f>
      </c>
      <c r="E507" t="str">
        <f>DATE(YEAR(D507),MONTH(D507),DAY(D507))</f>
      </c>
      <c r="F507" t="str">
        <f>CONCATENATE(C507,E507)</f>
      </c>
      <c r="G507" t="str">
        <f>TIMEVALUE(D507)</f>
      </c>
      <c r="H507" t="str">
        <f>COUNTIF(Szamlaszamok!A:A,A507)</f>
      </c>
      <c r="I507" t="str">
        <f>SUMIFS(Szamlaszamok!E:E,Szamlaszamok!A:A,Szamlaszamok_nonduplicate!A507)</f>
      </c>
    </row>
    <row r="508" spans="1:9">
      <c r="A508" t="s">
        <v>1863</v>
      </c>
      <c r="B508" t="str">
        <f>VLOOKUP($A508,Szamlaszamok!$A507:F2063,2,FALSE)</f>
      </c>
      <c r="C508" t="str">
        <f>VLOOKUP($A508,Szamlaszamok!$A507:F2063,3,FALSE)</f>
      </c>
      <c r="D508" t="str">
        <f>VLOOKUP($A508,Szamlaszamok!$A507:F2063,4,FALSE)</f>
      </c>
      <c r="E508" t="str">
        <f>DATE(YEAR(D508),MONTH(D508),DAY(D508))</f>
      </c>
      <c r="F508" t="str">
        <f>CONCATENATE(C508,E508)</f>
      </c>
      <c r="G508" t="str">
        <f>TIMEVALUE(D508)</f>
      </c>
      <c r="H508" t="str">
        <f>COUNTIF(Szamlaszamok!A:A,A508)</f>
      </c>
      <c r="I508" t="str">
        <f>SUMIFS(Szamlaszamok!E:E,Szamlaszamok!A:A,Szamlaszamok_nonduplicate!A508)</f>
      </c>
    </row>
    <row r="509" spans="1:9">
      <c r="A509" t="s">
        <v>1867</v>
      </c>
      <c r="B509" t="str">
        <f>VLOOKUP($A509,Szamlaszamok!$A508:F2064,2,FALSE)</f>
      </c>
      <c r="C509" t="str">
        <f>VLOOKUP($A509,Szamlaszamok!$A508:F2064,3,FALSE)</f>
      </c>
      <c r="D509" t="str">
        <f>VLOOKUP($A509,Szamlaszamok!$A508:F2064,4,FALSE)</f>
      </c>
      <c r="E509" t="str">
        <f>DATE(YEAR(D509),MONTH(D509),DAY(D509))</f>
      </c>
      <c r="F509" t="str">
        <f>CONCATENATE(C509,E509)</f>
      </c>
      <c r="G509" t="str">
        <f>TIMEVALUE(D509)</f>
      </c>
      <c r="H509" t="str">
        <f>COUNTIF(Szamlaszamok!A:A,A509)</f>
      </c>
      <c r="I509" t="str">
        <f>SUMIFS(Szamlaszamok!E:E,Szamlaszamok!A:A,Szamlaszamok_nonduplicate!A509)</f>
      </c>
    </row>
    <row r="510" spans="1:9">
      <c r="A510" t="s">
        <v>1871</v>
      </c>
      <c r="B510" t="str">
        <f>VLOOKUP($A510,Szamlaszamok!$A509:F2065,2,FALSE)</f>
      </c>
      <c r="C510" t="str">
        <f>VLOOKUP($A510,Szamlaszamok!$A509:F2065,3,FALSE)</f>
      </c>
      <c r="D510" t="str">
        <f>VLOOKUP($A510,Szamlaszamok!$A509:F2065,4,FALSE)</f>
      </c>
      <c r="E510" t="str">
        <f>DATE(YEAR(D510),MONTH(D510),DAY(D510))</f>
      </c>
      <c r="F510" t="str">
        <f>CONCATENATE(C510,E510)</f>
      </c>
      <c r="G510" t="str">
        <f>TIMEVALUE(D510)</f>
      </c>
      <c r="H510" t="str">
        <f>COUNTIF(Szamlaszamok!A:A,A510)</f>
      </c>
      <c r="I510" t="str">
        <f>SUMIFS(Szamlaszamok!E:E,Szamlaszamok!A:A,Szamlaszamok_nonduplicate!A510)</f>
      </c>
    </row>
    <row r="511" spans="1:9">
      <c r="A511" t="s">
        <v>1873</v>
      </c>
      <c r="B511" t="str">
        <f>VLOOKUP($A511,Szamlaszamok!$A510:F2066,2,FALSE)</f>
      </c>
      <c r="C511" t="str">
        <f>VLOOKUP($A511,Szamlaszamok!$A510:F2066,3,FALSE)</f>
      </c>
      <c r="D511" t="str">
        <f>VLOOKUP($A511,Szamlaszamok!$A510:F2066,4,FALSE)</f>
      </c>
      <c r="E511" t="str">
        <f>DATE(YEAR(D511),MONTH(D511),DAY(D511))</f>
      </c>
      <c r="F511" t="str">
        <f>CONCATENATE(C511,E511)</f>
      </c>
      <c r="G511" t="str">
        <f>TIMEVALUE(D511)</f>
      </c>
      <c r="H511" t="str">
        <f>COUNTIF(Szamlaszamok!A:A,A511)</f>
      </c>
      <c r="I511" t="str">
        <f>SUMIFS(Szamlaszamok!E:E,Szamlaszamok!A:A,Szamlaszamok_nonduplicate!A511)</f>
      </c>
    </row>
    <row r="512" spans="1:9">
      <c r="A512" t="s">
        <v>1877</v>
      </c>
      <c r="B512" t="str">
        <f>VLOOKUP($A512,Szamlaszamok!$A511:F2067,2,FALSE)</f>
      </c>
      <c r="C512" t="str">
        <f>VLOOKUP($A512,Szamlaszamok!$A511:F2067,3,FALSE)</f>
      </c>
      <c r="D512" t="str">
        <f>VLOOKUP($A512,Szamlaszamok!$A511:F2067,4,FALSE)</f>
      </c>
      <c r="E512" t="str">
        <f>DATE(YEAR(D512),MONTH(D512),DAY(D512))</f>
      </c>
      <c r="F512" t="str">
        <f>CONCATENATE(C512,E512)</f>
      </c>
      <c r="G512" t="str">
        <f>TIMEVALUE(D512)</f>
      </c>
      <c r="H512" t="str">
        <f>COUNTIF(Szamlaszamok!A:A,A512)</f>
      </c>
      <c r="I512" t="str">
        <f>SUMIFS(Szamlaszamok!E:E,Szamlaszamok!A:A,Szamlaszamok_nonduplicate!A512)</f>
      </c>
    </row>
    <row r="513" spans="1:9">
      <c r="A513" t="s">
        <v>1882</v>
      </c>
      <c r="B513" t="str">
        <f>VLOOKUP($A513,Szamlaszamok!$A512:F2068,2,FALSE)</f>
      </c>
      <c r="C513" t="str">
        <f>VLOOKUP($A513,Szamlaszamok!$A512:F2068,3,FALSE)</f>
      </c>
      <c r="D513" t="str">
        <f>VLOOKUP($A513,Szamlaszamok!$A512:F2068,4,FALSE)</f>
      </c>
      <c r="E513" t="str">
        <f>DATE(YEAR(D513),MONTH(D513),DAY(D513))</f>
      </c>
      <c r="F513" t="str">
        <f>CONCATENATE(C513,E513)</f>
      </c>
      <c r="G513" t="str">
        <f>TIMEVALUE(D513)</f>
      </c>
      <c r="H513" t="str">
        <f>COUNTIF(Szamlaszamok!A:A,A513)</f>
      </c>
      <c r="I513" t="str">
        <f>SUMIFS(Szamlaszamok!E:E,Szamlaszamok!A:A,Szamlaszamok_nonduplicate!A513)</f>
      </c>
    </row>
    <row r="514" spans="1:9">
      <c r="A514" t="s">
        <v>1889</v>
      </c>
      <c r="B514" t="str">
        <f>VLOOKUP($A514,Szamlaszamok!$A513:F2069,2,FALSE)</f>
      </c>
      <c r="C514" t="str">
        <f>VLOOKUP($A514,Szamlaszamok!$A513:F2069,3,FALSE)</f>
      </c>
      <c r="D514" t="str">
        <f>VLOOKUP($A514,Szamlaszamok!$A513:F2069,4,FALSE)</f>
      </c>
      <c r="E514" t="str">
        <f>DATE(YEAR(D514),MONTH(D514),DAY(D514))</f>
      </c>
      <c r="F514" t="str">
        <f>CONCATENATE(C514,E514)</f>
      </c>
      <c r="G514" t="str">
        <f>TIMEVALUE(D514)</f>
      </c>
      <c r="H514" t="str">
        <f>COUNTIF(Szamlaszamok!A:A,A514)</f>
      </c>
      <c r="I514" t="str">
        <f>SUMIFS(Szamlaszamok!E:E,Szamlaszamok!A:A,Szamlaszamok_nonduplicate!A514)</f>
      </c>
    </row>
    <row r="515" spans="1:9">
      <c r="A515" t="s">
        <v>1893</v>
      </c>
      <c r="B515" t="str">
        <f>VLOOKUP($A515,Szamlaszamok!$A514:F2070,2,FALSE)</f>
      </c>
      <c r="C515" t="str">
        <f>VLOOKUP($A515,Szamlaszamok!$A514:F2070,3,FALSE)</f>
      </c>
      <c r="D515" t="str">
        <f>VLOOKUP($A515,Szamlaszamok!$A514:F2070,4,FALSE)</f>
      </c>
      <c r="E515" t="str">
        <f>DATE(YEAR(D515),MONTH(D515),DAY(D515))</f>
      </c>
      <c r="F515" t="str">
        <f>CONCATENATE(C515,E515)</f>
      </c>
      <c r="G515" t="str">
        <f>TIMEVALUE(D515)</f>
      </c>
      <c r="H515" t="str">
        <f>COUNTIF(Szamlaszamok!A:A,A515)</f>
      </c>
      <c r="I515" t="str">
        <f>SUMIFS(Szamlaszamok!E:E,Szamlaszamok!A:A,Szamlaszamok_nonduplicate!A515)</f>
      </c>
    </row>
    <row r="516" spans="1:9">
      <c r="A516" t="s">
        <v>1897</v>
      </c>
      <c r="B516" t="str">
        <f>VLOOKUP($A516,Szamlaszamok!$A515:F2071,2,FALSE)</f>
      </c>
      <c r="C516" t="str">
        <f>VLOOKUP($A516,Szamlaszamok!$A515:F2071,3,FALSE)</f>
      </c>
      <c r="D516" t="str">
        <f>VLOOKUP($A516,Szamlaszamok!$A515:F2071,4,FALSE)</f>
      </c>
      <c r="E516" t="str">
        <f>DATE(YEAR(D516),MONTH(D516),DAY(D516))</f>
      </c>
      <c r="F516" t="str">
        <f>CONCATENATE(C516,E516)</f>
      </c>
      <c r="G516" t="str">
        <f>TIMEVALUE(D516)</f>
      </c>
      <c r="H516" t="str">
        <f>COUNTIF(Szamlaszamok!A:A,A516)</f>
      </c>
      <c r="I516" t="str">
        <f>SUMIFS(Szamlaszamok!E:E,Szamlaszamok!A:A,Szamlaszamok_nonduplicate!A516)</f>
      </c>
    </row>
    <row r="517" spans="1:9">
      <c r="A517" t="s">
        <v>1902</v>
      </c>
      <c r="B517" t="str">
        <f>VLOOKUP($A517,Szamlaszamok!$A516:F2072,2,FALSE)</f>
      </c>
      <c r="C517" t="str">
        <f>VLOOKUP($A517,Szamlaszamok!$A516:F2072,3,FALSE)</f>
      </c>
      <c r="D517" t="str">
        <f>VLOOKUP($A517,Szamlaszamok!$A516:F2072,4,FALSE)</f>
      </c>
      <c r="E517" t="str">
        <f>DATE(YEAR(D517),MONTH(D517),DAY(D517))</f>
      </c>
      <c r="F517" t="str">
        <f>CONCATENATE(C517,E517)</f>
      </c>
      <c r="G517" t="str">
        <f>TIMEVALUE(D517)</f>
      </c>
      <c r="H517" t="str">
        <f>COUNTIF(Szamlaszamok!A:A,A517)</f>
      </c>
      <c r="I517" t="str">
        <f>SUMIFS(Szamlaszamok!E:E,Szamlaszamok!A:A,Szamlaszamok_nonduplicate!A517)</f>
      </c>
    </row>
    <row r="518" spans="1:9">
      <c r="A518" t="s">
        <v>1906</v>
      </c>
      <c r="B518" t="str">
        <f>VLOOKUP($A518,Szamlaszamok!$A517:F2073,2,FALSE)</f>
      </c>
      <c r="C518" t="str">
        <f>VLOOKUP($A518,Szamlaszamok!$A517:F2073,3,FALSE)</f>
      </c>
      <c r="D518" t="str">
        <f>VLOOKUP($A518,Szamlaszamok!$A517:F2073,4,FALSE)</f>
      </c>
      <c r="E518" t="str">
        <f>DATE(YEAR(D518),MONTH(D518),DAY(D518))</f>
      </c>
      <c r="F518" t="str">
        <f>CONCATENATE(C518,E518)</f>
      </c>
      <c r="G518" t="str">
        <f>TIMEVALUE(D518)</f>
      </c>
      <c r="H518" t="str">
        <f>COUNTIF(Szamlaszamok!A:A,A518)</f>
      </c>
      <c r="I518" t="str">
        <f>SUMIFS(Szamlaszamok!E:E,Szamlaszamok!A:A,Szamlaszamok_nonduplicate!A518)</f>
      </c>
    </row>
    <row r="519" spans="1:9">
      <c r="A519" t="s">
        <v>1911</v>
      </c>
      <c r="B519" t="str">
        <f>VLOOKUP($A519,Szamlaszamok!$A518:F2074,2,FALSE)</f>
      </c>
      <c r="C519" t="str">
        <f>VLOOKUP($A519,Szamlaszamok!$A518:F2074,3,FALSE)</f>
      </c>
      <c r="D519" t="str">
        <f>VLOOKUP($A519,Szamlaszamok!$A518:F2074,4,FALSE)</f>
      </c>
      <c r="E519" t="str">
        <f>DATE(YEAR(D519),MONTH(D519),DAY(D519))</f>
      </c>
      <c r="F519" t="str">
        <f>CONCATENATE(C519,E519)</f>
      </c>
      <c r="G519" t="str">
        <f>TIMEVALUE(D519)</f>
      </c>
      <c r="H519" t="str">
        <f>COUNTIF(Szamlaszamok!A:A,A519)</f>
      </c>
      <c r="I519" t="str">
        <f>SUMIFS(Szamlaszamok!E:E,Szamlaszamok!A:A,Szamlaszamok_nonduplicate!A519)</f>
      </c>
    </row>
    <row r="520" spans="1:9">
      <c r="A520" t="s">
        <v>1914</v>
      </c>
      <c r="B520" t="str">
        <f>VLOOKUP($A520,Szamlaszamok!$A519:F2075,2,FALSE)</f>
      </c>
      <c r="C520" t="str">
        <f>VLOOKUP($A520,Szamlaszamok!$A519:F2075,3,FALSE)</f>
      </c>
      <c r="D520" t="str">
        <f>VLOOKUP($A520,Szamlaszamok!$A519:F2075,4,FALSE)</f>
      </c>
      <c r="E520" t="str">
        <f>DATE(YEAR(D520),MONTH(D520),DAY(D520))</f>
      </c>
      <c r="F520" t="str">
        <f>CONCATENATE(C520,E520)</f>
      </c>
      <c r="G520" t="str">
        <f>TIMEVALUE(D520)</f>
      </c>
      <c r="H520" t="str">
        <f>COUNTIF(Szamlaszamok!A:A,A520)</f>
      </c>
      <c r="I520" t="str">
        <f>SUMIFS(Szamlaszamok!E:E,Szamlaszamok!A:A,Szamlaszamok_nonduplicate!A520)</f>
      </c>
    </row>
    <row r="521" spans="1:9">
      <c r="A521" t="s">
        <v>1917</v>
      </c>
      <c r="B521" t="str">
        <f>VLOOKUP($A521,Szamlaszamok!$A520:F2076,2,FALSE)</f>
      </c>
      <c r="C521" t="str">
        <f>VLOOKUP($A521,Szamlaszamok!$A520:F2076,3,FALSE)</f>
      </c>
      <c r="D521" t="str">
        <f>VLOOKUP($A521,Szamlaszamok!$A520:F2076,4,FALSE)</f>
      </c>
      <c r="E521" t="str">
        <f>DATE(YEAR(D521),MONTH(D521),DAY(D521))</f>
      </c>
      <c r="F521" t="str">
        <f>CONCATENATE(C521,E521)</f>
      </c>
      <c r="G521" t="str">
        <f>TIMEVALUE(D521)</f>
      </c>
      <c r="H521" t="str">
        <f>COUNTIF(Szamlaszamok!A:A,A521)</f>
      </c>
      <c r="I521" t="str">
        <f>SUMIFS(Szamlaszamok!E:E,Szamlaszamok!A:A,Szamlaszamok_nonduplicate!A521)</f>
      </c>
    </row>
    <row r="522" spans="1:9">
      <c r="A522" t="s">
        <v>1919</v>
      </c>
      <c r="B522" t="str">
        <f>VLOOKUP($A522,Szamlaszamok!$A521:F2077,2,FALSE)</f>
      </c>
      <c r="C522" t="str">
        <f>VLOOKUP($A522,Szamlaszamok!$A521:F2077,3,FALSE)</f>
      </c>
      <c r="D522" t="str">
        <f>VLOOKUP($A522,Szamlaszamok!$A521:F2077,4,FALSE)</f>
      </c>
      <c r="E522" t="str">
        <f>DATE(YEAR(D522),MONTH(D522),DAY(D522))</f>
      </c>
      <c r="F522" t="str">
        <f>CONCATENATE(C522,E522)</f>
      </c>
      <c r="G522" t="str">
        <f>TIMEVALUE(D522)</f>
      </c>
      <c r="H522" t="str">
        <f>COUNTIF(Szamlaszamok!A:A,A522)</f>
      </c>
      <c r="I522" t="str">
        <f>SUMIFS(Szamlaszamok!E:E,Szamlaszamok!A:A,Szamlaszamok_nonduplicate!A522)</f>
      </c>
    </row>
    <row r="523" spans="1:9">
      <c r="A523" t="s">
        <v>1923</v>
      </c>
      <c r="B523" t="str">
        <f>VLOOKUP($A523,Szamlaszamok!$A522:F2078,2,FALSE)</f>
      </c>
      <c r="C523" t="str">
        <f>VLOOKUP($A523,Szamlaszamok!$A522:F2078,3,FALSE)</f>
      </c>
      <c r="D523" t="str">
        <f>VLOOKUP($A523,Szamlaszamok!$A522:F2078,4,FALSE)</f>
      </c>
      <c r="E523" t="str">
        <f>DATE(YEAR(D523),MONTH(D523),DAY(D523))</f>
      </c>
      <c r="F523" t="str">
        <f>CONCATENATE(C523,E523)</f>
      </c>
      <c r="G523" t="str">
        <f>TIMEVALUE(D523)</f>
      </c>
      <c r="H523" t="str">
        <f>COUNTIF(Szamlaszamok!A:A,A523)</f>
      </c>
      <c r="I523" t="str">
        <f>SUMIFS(Szamlaszamok!E:E,Szamlaszamok!A:A,Szamlaszamok_nonduplicate!A523)</f>
      </c>
    </row>
    <row r="524" spans="1:9">
      <c r="A524" t="s">
        <v>1926</v>
      </c>
      <c r="B524" t="str">
        <f>VLOOKUP($A524,Szamlaszamok!$A523:F2079,2,FALSE)</f>
      </c>
      <c r="C524" t="str">
        <f>VLOOKUP($A524,Szamlaszamok!$A523:F2079,3,FALSE)</f>
      </c>
      <c r="D524" t="str">
        <f>VLOOKUP($A524,Szamlaszamok!$A523:F2079,4,FALSE)</f>
      </c>
      <c r="E524" t="str">
        <f>DATE(YEAR(D524),MONTH(D524),DAY(D524))</f>
      </c>
      <c r="F524" t="str">
        <f>CONCATENATE(C524,E524)</f>
      </c>
      <c r="G524" t="str">
        <f>TIMEVALUE(D524)</f>
      </c>
      <c r="H524" t="str">
        <f>COUNTIF(Szamlaszamok!A:A,A524)</f>
      </c>
      <c r="I524" t="str">
        <f>SUMIFS(Szamlaszamok!E:E,Szamlaszamok!A:A,Szamlaszamok_nonduplicate!A524)</f>
      </c>
    </row>
    <row r="525" spans="1:9">
      <c r="A525" t="s">
        <v>1928</v>
      </c>
      <c r="B525" t="str">
        <f>VLOOKUP($A525,Szamlaszamok!$A524:F2080,2,FALSE)</f>
      </c>
      <c r="C525" t="str">
        <f>VLOOKUP($A525,Szamlaszamok!$A524:F2080,3,FALSE)</f>
      </c>
      <c r="D525" t="str">
        <f>VLOOKUP($A525,Szamlaszamok!$A524:F2080,4,FALSE)</f>
      </c>
      <c r="E525" t="str">
        <f>DATE(YEAR(D525),MONTH(D525),DAY(D525))</f>
      </c>
      <c r="F525" t="str">
        <f>CONCATENATE(C525,E525)</f>
      </c>
      <c r="G525" t="str">
        <f>TIMEVALUE(D525)</f>
      </c>
      <c r="H525" t="str">
        <f>COUNTIF(Szamlaszamok!A:A,A525)</f>
      </c>
      <c r="I525" t="str">
        <f>SUMIFS(Szamlaszamok!E:E,Szamlaszamok!A:A,Szamlaszamok_nonduplicate!A525)</f>
      </c>
    </row>
    <row r="526" spans="1:9">
      <c r="A526" t="s">
        <v>1932</v>
      </c>
      <c r="B526" t="str">
        <f>VLOOKUP($A526,Szamlaszamok!$A525:F2081,2,FALSE)</f>
      </c>
      <c r="C526" t="str">
        <f>VLOOKUP($A526,Szamlaszamok!$A525:F2081,3,FALSE)</f>
      </c>
      <c r="D526" t="str">
        <f>VLOOKUP($A526,Szamlaszamok!$A525:F2081,4,FALSE)</f>
      </c>
      <c r="E526" t="str">
        <f>DATE(YEAR(D526),MONTH(D526),DAY(D526))</f>
      </c>
      <c r="F526" t="str">
        <f>CONCATENATE(C526,E526)</f>
      </c>
      <c r="G526" t="str">
        <f>TIMEVALUE(D526)</f>
      </c>
      <c r="H526" t="str">
        <f>COUNTIF(Szamlaszamok!A:A,A526)</f>
      </c>
      <c r="I526" t="str">
        <f>SUMIFS(Szamlaszamok!E:E,Szamlaszamok!A:A,Szamlaszamok_nonduplicate!A526)</f>
      </c>
    </row>
    <row r="527" spans="1:9">
      <c r="A527" t="s">
        <v>1935</v>
      </c>
      <c r="B527" t="str">
        <f>VLOOKUP($A527,Szamlaszamok!$A526:F2082,2,FALSE)</f>
      </c>
      <c r="C527" t="str">
        <f>VLOOKUP($A527,Szamlaszamok!$A526:F2082,3,FALSE)</f>
      </c>
      <c r="D527" t="str">
        <f>VLOOKUP($A527,Szamlaszamok!$A526:F2082,4,FALSE)</f>
      </c>
      <c r="E527" t="str">
        <f>DATE(YEAR(D527),MONTH(D527),DAY(D527))</f>
      </c>
      <c r="F527" t="str">
        <f>CONCATENATE(C527,E527)</f>
      </c>
      <c r="G527" t="str">
        <f>TIMEVALUE(D527)</f>
      </c>
      <c r="H527" t="str">
        <f>COUNTIF(Szamlaszamok!A:A,A527)</f>
      </c>
      <c r="I527" t="str">
        <f>SUMIFS(Szamlaszamok!E:E,Szamlaszamok!A:A,Szamlaszamok_nonduplicate!A527)</f>
      </c>
    </row>
    <row r="528" spans="1:9">
      <c r="A528" t="s">
        <v>1940</v>
      </c>
      <c r="B528" t="str">
        <f>VLOOKUP($A528,Szamlaszamok!$A527:F2083,2,FALSE)</f>
      </c>
      <c r="C528" t="str">
        <f>VLOOKUP($A528,Szamlaszamok!$A527:F2083,3,FALSE)</f>
      </c>
      <c r="D528" t="str">
        <f>VLOOKUP($A528,Szamlaszamok!$A527:F2083,4,FALSE)</f>
      </c>
      <c r="E528" t="str">
        <f>DATE(YEAR(D528),MONTH(D528),DAY(D528))</f>
      </c>
      <c r="F528" t="str">
        <f>CONCATENATE(C528,E528)</f>
      </c>
      <c r="G528" t="str">
        <f>TIMEVALUE(D528)</f>
      </c>
      <c r="H528" t="str">
        <f>COUNTIF(Szamlaszamok!A:A,A528)</f>
      </c>
      <c r="I528" t="str">
        <f>SUMIFS(Szamlaszamok!E:E,Szamlaszamok!A:A,Szamlaszamok_nonduplicate!A528)</f>
      </c>
    </row>
    <row r="529" spans="1:9">
      <c r="A529" t="s">
        <v>1944</v>
      </c>
      <c r="B529" t="str">
        <f>VLOOKUP($A529,Szamlaszamok!$A528:F2084,2,FALSE)</f>
      </c>
      <c r="C529" t="str">
        <f>VLOOKUP($A529,Szamlaszamok!$A528:F2084,3,FALSE)</f>
      </c>
      <c r="D529" t="str">
        <f>VLOOKUP($A529,Szamlaszamok!$A528:F2084,4,FALSE)</f>
      </c>
      <c r="E529" t="str">
        <f>DATE(YEAR(D529),MONTH(D529),DAY(D529))</f>
      </c>
      <c r="F529" t="str">
        <f>CONCATENATE(C529,E529)</f>
      </c>
      <c r="G529" t="str">
        <f>TIMEVALUE(D529)</f>
      </c>
      <c r="H529" t="str">
        <f>COUNTIF(Szamlaszamok!A:A,A529)</f>
      </c>
      <c r="I529" t="str">
        <f>SUMIFS(Szamlaszamok!E:E,Szamlaszamok!A:A,Szamlaszamok_nonduplicate!A529)</f>
      </c>
    </row>
    <row r="530" spans="1:9">
      <c r="A530" t="s">
        <v>1949</v>
      </c>
      <c r="B530" t="str">
        <f>VLOOKUP($A530,Szamlaszamok!$A529:F2085,2,FALSE)</f>
      </c>
      <c r="C530" t="str">
        <f>VLOOKUP($A530,Szamlaszamok!$A529:F2085,3,FALSE)</f>
      </c>
      <c r="D530" t="str">
        <f>VLOOKUP($A530,Szamlaszamok!$A529:F2085,4,FALSE)</f>
      </c>
      <c r="E530" t="str">
        <f>DATE(YEAR(D530),MONTH(D530),DAY(D530))</f>
      </c>
      <c r="F530" t="str">
        <f>CONCATENATE(C530,E530)</f>
      </c>
      <c r="G530" t="str">
        <f>TIMEVALUE(D530)</f>
      </c>
      <c r="H530" t="str">
        <f>COUNTIF(Szamlaszamok!A:A,A530)</f>
      </c>
      <c r="I530" t="str">
        <f>SUMIFS(Szamlaszamok!E:E,Szamlaszamok!A:A,Szamlaszamok_nonduplicate!A530)</f>
      </c>
    </row>
    <row r="531" spans="1:9">
      <c r="A531" t="s">
        <v>1954</v>
      </c>
      <c r="B531" t="str">
        <f>VLOOKUP($A531,Szamlaszamok!$A530:F2086,2,FALSE)</f>
      </c>
      <c r="C531" t="str">
        <f>VLOOKUP($A531,Szamlaszamok!$A530:F2086,3,FALSE)</f>
      </c>
      <c r="D531" t="str">
        <f>VLOOKUP($A531,Szamlaszamok!$A530:F2086,4,FALSE)</f>
      </c>
      <c r="E531" t="str">
        <f>DATE(YEAR(D531),MONTH(D531),DAY(D531))</f>
      </c>
      <c r="F531" t="str">
        <f>CONCATENATE(C531,E531)</f>
      </c>
      <c r="G531" t="str">
        <f>TIMEVALUE(D531)</f>
      </c>
      <c r="H531" t="str">
        <f>COUNTIF(Szamlaszamok!A:A,A531)</f>
      </c>
      <c r="I531" t="str">
        <f>SUMIFS(Szamlaszamok!E:E,Szamlaszamok!A:A,Szamlaszamok_nonduplicate!A531)</f>
      </c>
    </row>
    <row r="532" spans="1:9">
      <c r="A532" t="s">
        <v>1959</v>
      </c>
      <c r="B532" t="str">
        <f>VLOOKUP($A532,Szamlaszamok!$A531:F2087,2,FALSE)</f>
      </c>
      <c r="C532" t="str">
        <f>VLOOKUP($A532,Szamlaszamok!$A531:F2087,3,FALSE)</f>
      </c>
      <c r="D532" t="str">
        <f>VLOOKUP($A532,Szamlaszamok!$A531:F2087,4,FALSE)</f>
      </c>
      <c r="E532" t="str">
        <f>DATE(YEAR(D532),MONTH(D532),DAY(D532))</f>
      </c>
      <c r="F532" t="str">
        <f>CONCATENATE(C532,E532)</f>
      </c>
      <c r="G532" t="str">
        <f>TIMEVALUE(D532)</f>
      </c>
      <c r="H532" t="str">
        <f>COUNTIF(Szamlaszamok!A:A,A532)</f>
      </c>
      <c r="I532" t="str">
        <f>SUMIFS(Szamlaszamok!E:E,Szamlaszamok!A:A,Szamlaszamok_nonduplicate!A532)</f>
      </c>
    </row>
    <row r="533" spans="1:9">
      <c r="A533" t="s">
        <v>1962</v>
      </c>
      <c r="B533" t="str">
        <f>VLOOKUP($A533,Szamlaszamok!$A532:F2088,2,FALSE)</f>
      </c>
      <c r="C533" t="str">
        <f>VLOOKUP($A533,Szamlaszamok!$A532:F2088,3,FALSE)</f>
      </c>
      <c r="D533" t="str">
        <f>VLOOKUP($A533,Szamlaszamok!$A532:F2088,4,FALSE)</f>
      </c>
      <c r="E533" t="str">
        <f>DATE(YEAR(D533),MONTH(D533),DAY(D533))</f>
      </c>
      <c r="F533" t="str">
        <f>CONCATENATE(C533,E533)</f>
      </c>
      <c r="G533" t="str">
        <f>TIMEVALUE(D533)</f>
      </c>
      <c r="H533" t="str">
        <f>COUNTIF(Szamlaszamok!A:A,A533)</f>
      </c>
      <c r="I533" t="str">
        <f>SUMIFS(Szamlaszamok!E:E,Szamlaszamok!A:A,Szamlaszamok_nonduplicate!A533)</f>
      </c>
    </row>
    <row r="534" spans="1:9">
      <c r="A534" t="s">
        <v>1966</v>
      </c>
      <c r="B534" t="str">
        <f>VLOOKUP($A534,Szamlaszamok!$A533:F2089,2,FALSE)</f>
      </c>
      <c r="C534" t="str">
        <f>VLOOKUP($A534,Szamlaszamok!$A533:F2089,3,FALSE)</f>
      </c>
      <c r="D534" t="str">
        <f>VLOOKUP($A534,Szamlaszamok!$A533:F2089,4,FALSE)</f>
      </c>
      <c r="E534" t="str">
        <f>DATE(YEAR(D534),MONTH(D534),DAY(D534))</f>
      </c>
      <c r="F534" t="str">
        <f>CONCATENATE(C534,E534)</f>
      </c>
      <c r="G534" t="str">
        <f>TIMEVALUE(D534)</f>
      </c>
      <c r="H534" t="str">
        <f>COUNTIF(Szamlaszamok!A:A,A534)</f>
      </c>
      <c r="I534" t="str">
        <f>SUMIFS(Szamlaszamok!E:E,Szamlaszamok!A:A,Szamlaszamok_nonduplicate!A534)</f>
      </c>
    </row>
    <row r="535" spans="1:9">
      <c r="A535" t="s">
        <v>1967</v>
      </c>
      <c r="B535" t="str">
        <f>VLOOKUP($A535,Szamlaszamok!$A534:F2090,2,FALSE)</f>
      </c>
      <c r="C535" t="str">
        <f>VLOOKUP($A535,Szamlaszamok!$A534:F2090,3,FALSE)</f>
      </c>
      <c r="D535" t="str">
        <f>VLOOKUP($A535,Szamlaszamok!$A534:F2090,4,FALSE)</f>
      </c>
      <c r="E535" t="str">
        <f>DATE(YEAR(D535),MONTH(D535),DAY(D535))</f>
      </c>
      <c r="F535" t="str">
        <f>CONCATENATE(C535,E535)</f>
      </c>
      <c r="G535" t="str">
        <f>TIMEVALUE(D535)</f>
      </c>
      <c r="H535" t="str">
        <f>COUNTIF(Szamlaszamok!A:A,A535)</f>
      </c>
      <c r="I535" t="str">
        <f>SUMIFS(Szamlaszamok!E:E,Szamlaszamok!A:A,Szamlaszamok_nonduplicate!A535)</f>
      </c>
    </row>
    <row r="536" spans="1:9">
      <c r="A536" t="s">
        <v>1973</v>
      </c>
      <c r="B536" t="str">
        <f>VLOOKUP($A536,Szamlaszamok!$A535:F2091,2,FALSE)</f>
      </c>
      <c r="C536" t="str">
        <f>VLOOKUP($A536,Szamlaszamok!$A535:F2091,3,FALSE)</f>
      </c>
      <c r="D536" t="str">
        <f>VLOOKUP($A536,Szamlaszamok!$A535:F2091,4,FALSE)</f>
      </c>
      <c r="E536" t="str">
        <f>DATE(YEAR(D536),MONTH(D536),DAY(D536))</f>
      </c>
      <c r="F536" t="str">
        <f>CONCATENATE(C536,E536)</f>
      </c>
      <c r="G536" t="str">
        <f>TIMEVALUE(D536)</f>
      </c>
      <c r="H536" t="str">
        <f>COUNTIF(Szamlaszamok!A:A,A536)</f>
      </c>
      <c r="I536" t="str">
        <f>SUMIFS(Szamlaszamok!E:E,Szamlaszamok!A:A,Szamlaszamok_nonduplicate!A536)</f>
      </c>
    </row>
    <row r="537" spans="1:9">
      <c r="A537" t="s">
        <v>1978</v>
      </c>
      <c r="B537" t="str">
        <f>VLOOKUP($A537,Szamlaszamok!$A536:F2092,2,FALSE)</f>
      </c>
      <c r="C537" t="str">
        <f>VLOOKUP($A537,Szamlaszamok!$A536:F2092,3,FALSE)</f>
      </c>
      <c r="D537" t="str">
        <f>VLOOKUP($A537,Szamlaszamok!$A536:F2092,4,FALSE)</f>
      </c>
      <c r="E537" t="str">
        <f>DATE(YEAR(D537),MONTH(D537),DAY(D537))</f>
      </c>
      <c r="F537" t="str">
        <f>CONCATENATE(C537,E537)</f>
      </c>
      <c r="G537" t="str">
        <f>TIMEVALUE(D537)</f>
      </c>
      <c r="H537" t="str">
        <f>COUNTIF(Szamlaszamok!A:A,A537)</f>
      </c>
      <c r="I537" t="str">
        <f>SUMIFS(Szamlaszamok!E:E,Szamlaszamok!A:A,Szamlaszamok_nonduplicate!A537)</f>
      </c>
    </row>
    <row r="538" spans="1:9">
      <c r="A538" t="s">
        <v>1983</v>
      </c>
      <c r="B538" t="str">
        <f>VLOOKUP($A538,Szamlaszamok!$A537:F2093,2,FALSE)</f>
      </c>
      <c r="C538" t="str">
        <f>VLOOKUP($A538,Szamlaszamok!$A537:F2093,3,FALSE)</f>
      </c>
      <c r="D538" t="str">
        <f>VLOOKUP($A538,Szamlaszamok!$A537:F2093,4,FALSE)</f>
      </c>
      <c r="E538" t="str">
        <f>DATE(YEAR(D538),MONTH(D538),DAY(D538))</f>
      </c>
      <c r="F538" t="str">
        <f>CONCATENATE(C538,E538)</f>
      </c>
      <c r="G538" t="str">
        <f>TIMEVALUE(D538)</f>
      </c>
      <c r="H538" t="str">
        <f>COUNTIF(Szamlaszamok!A:A,A538)</f>
      </c>
      <c r="I538" t="str">
        <f>SUMIFS(Szamlaszamok!E:E,Szamlaszamok!A:A,Szamlaszamok_nonduplicate!A538)</f>
      </c>
    </row>
    <row r="539" spans="1:9">
      <c r="A539" t="s">
        <v>1987</v>
      </c>
      <c r="B539" t="str">
        <f>VLOOKUP($A539,Szamlaszamok!$A538:F2094,2,FALSE)</f>
      </c>
      <c r="C539" t="str">
        <f>VLOOKUP($A539,Szamlaszamok!$A538:F2094,3,FALSE)</f>
      </c>
      <c r="D539" t="str">
        <f>VLOOKUP($A539,Szamlaszamok!$A538:F2094,4,FALSE)</f>
      </c>
      <c r="E539" t="str">
        <f>DATE(YEAR(D539),MONTH(D539),DAY(D539))</f>
      </c>
      <c r="F539" t="str">
        <f>CONCATENATE(C539,E539)</f>
      </c>
      <c r="G539" t="str">
        <f>TIMEVALUE(D539)</f>
      </c>
      <c r="H539" t="str">
        <f>COUNTIF(Szamlaszamok!A:A,A539)</f>
      </c>
      <c r="I539" t="str">
        <f>SUMIFS(Szamlaszamok!E:E,Szamlaszamok!A:A,Szamlaszamok_nonduplicate!A539)</f>
      </c>
    </row>
    <row r="540" spans="1:9">
      <c r="A540" t="s">
        <v>1991</v>
      </c>
      <c r="B540" t="str">
        <f>VLOOKUP($A540,Szamlaszamok!$A539:F2095,2,FALSE)</f>
      </c>
      <c r="C540" t="str">
        <f>VLOOKUP($A540,Szamlaszamok!$A539:F2095,3,FALSE)</f>
      </c>
      <c r="D540" t="str">
        <f>VLOOKUP($A540,Szamlaszamok!$A539:F2095,4,FALSE)</f>
      </c>
      <c r="E540" t="str">
        <f>DATE(YEAR(D540),MONTH(D540),DAY(D540))</f>
      </c>
      <c r="F540" t="str">
        <f>CONCATENATE(C540,E540)</f>
      </c>
      <c r="G540" t="str">
        <f>TIMEVALUE(D540)</f>
      </c>
      <c r="H540" t="str">
        <f>COUNTIF(Szamlaszamok!A:A,A540)</f>
      </c>
      <c r="I540" t="str">
        <f>SUMIFS(Szamlaszamok!E:E,Szamlaszamok!A:A,Szamlaszamok_nonduplicate!A540)</f>
      </c>
    </row>
    <row r="541" spans="1:9">
      <c r="A541" t="s">
        <v>1994</v>
      </c>
      <c r="B541" t="str">
        <f>VLOOKUP($A541,Szamlaszamok!$A540:F2096,2,FALSE)</f>
      </c>
      <c r="C541" t="str">
        <f>VLOOKUP($A541,Szamlaszamok!$A540:F2096,3,FALSE)</f>
      </c>
      <c r="D541" t="str">
        <f>VLOOKUP($A541,Szamlaszamok!$A540:F2096,4,FALSE)</f>
      </c>
      <c r="E541" t="str">
        <f>DATE(YEAR(D541),MONTH(D541),DAY(D541))</f>
      </c>
      <c r="F541" t="str">
        <f>CONCATENATE(C541,E541)</f>
      </c>
      <c r="G541" t="str">
        <f>TIMEVALUE(D541)</f>
      </c>
      <c r="H541" t="str">
        <f>COUNTIF(Szamlaszamok!A:A,A541)</f>
      </c>
      <c r="I541" t="str">
        <f>SUMIFS(Szamlaszamok!E:E,Szamlaszamok!A:A,Szamlaszamok_nonduplicate!A541)</f>
      </c>
    </row>
    <row r="542" spans="1:9">
      <c r="A542" t="s">
        <v>1999</v>
      </c>
      <c r="B542" t="str">
        <f>VLOOKUP($A542,Szamlaszamok!$A541:F2097,2,FALSE)</f>
      </c>
      <c r="C542" t="str">
        <f>VLOOKUP($A542,Szamlaszamok!$A541:F2097,3,FALSE)</f>
      </c>
      <c r="D542" t="str">
        <f>VLOOKUP($A542,Szamlaszamok!$A541:F2097,4,FALSE)</f>
      </c>
      <c r="E542" t="str">
        <f>DATE(YEAR(D542),MONTH(D542),DAY(D542))</f>
      </c>
      <c r="F542" t="str">
        <f>CONCATENATE(C542,E542)</f>
      </c>
      <c r="G542" t="str">
        <f>TIMEVALUE(D542)</f>
      </c>
      <c r="H542" t="str">
        <f>COUNTIF(Szamlaszamok!A:A,A542)</f>
      </c>
      <c r="I542" t="str">
        <f>SUMIFS(Szamlaszamok!E:E,Szamlaszamok!A:A,Szamlaszamok_nonduplicate!A542)</f>
      </c>
    </row>
    <row r="543" spans="1:9">
      <c r="A543" t="s">
        <v>2002</v>
      </c>
      <c r="B543" t="str">
        <f>VLOOKUP($A543,Szamlaszamok!$A542:F2098,2,FALSE)</f>
      </c>
      <c r="C543" t="str">
        <f>VLOOKUP($A543,Szamlaszamok!$A542:F2098,3,FALSE)</f>
      </c>
      <c r="D543" t="str">
        <f>VLOOKUP($A543,Szamlaszamok!$A542:F2098,4,FALSE)</f>
      </c>
      <c r="E543" t="str">
        <f>DATE(YEAR(D543),MONTH(D543),DAY(D543))</f>
      </c>
      <c r="F543" t="str">
        <f>CONCATENATE(C543,E543)</f>
      </c>
      <c r="G543" t="str">
        <f>TIMEVALUE(D543)</f>
      </c>
      <c r="H543" t="str">
        <f>COUNTIF(Szamlaszamok!A:A,A543)</f>
      </c>
      <c r="I543" t="str">
        <f>SUMIFS(Szamlaszamok!E:E,Szamlaszamok!A:A,Szamlaszamok_nonduplicate!A543)</f>
      </c>
    </row>
    <row r="544" spans="1:9">
      <c r="A544" t="s">
        <v>2008</v>
      </c>
      <c r="B544" t="str">
        <f>VLOOKUP($A544,Szamlaszamok!$A543:F2099,2,FALSE)</f>
      </c>
      <c r="C544" t="str">
        <f>VLOOKUP($A544,Szamlaszamok!$A543:F2099,3,FALSE)</f>
      </c>
      <c r="D544" t="str">
        <f>VLOOKUP($A544,Szamlaszamok!$A543:F2099,4,FALSE)</f>
      </c>
      <c r="E544" t="str">
        <f>DATE(YEAR(D544),MONTH(D544),DAY(D544))</f>
      </c>
      <c r="F544" t="str">
        <f>CONCATENATE(C544,E544)</f>
      </c>
      <c r="G544" t="str">
        <f>TIMEVALUE(D544)</f>
      </c>
      <c r="H544" t="str">
        <f>COUNTIF(Szamlaszamok!A:A,A544)</f>
      </c>
      <c r="I544" t="str">
        <f>SUMIFS(Szamlaszamok!E:E,Szamlaszamok!A:A,Szamlaszamok_nonduplicate!A544)</f>
      </c>
    </row>
    <row r="545" spans="1:9">
      <c r="A545" t="s">
        <v>2014</v>
      </c>
      <c r="B545" t="str">
        <f>VLOOKUP($A545,Szamlaszamok!$A544:F2100,2,FALSE)</f>
      </c>
      <c r="C545" t="str">
        <f>VLOOKUP($A545,Szamlaszamok!$A544:F2100,3,FALSE)</f>
      </c>
      <c r="D545" t="str">
        <f>VLOOKUP($A545,Szamlaszamok!$A544:F2100,4,FALSE)</f>
      </c>
      <c r="E545" t="str">
        <f>DATE(YEAR(D545),MONTH(D545),DAY(D545))</f>
      </c>
      <c r="F545" t="str">
        <f>CONCATENATE(C545,E545)</f>
      </c>
      <c r="G545" t="str">
        <f>TIMEVALUE(D545)</f>
      </c>
      <c r="H545" t="str">
        <f>COUNTIF(Szamlaszamok!A:A,A545)</f>
      </c>
      <c r="I545" t="str">
        <f>SUMIFS(Szamlaszamok!E:E,Szamlaszamok!A:A,Szamlaszamok_nonduplicate!A545)</f>
      </c>
    </row>
    <row r="546" spans="1:9">
      <c r="A546" t="s">
        <v>2019</v>
      </c>
      <c r="B546" t="str">
        <f>VLOOKUP($A546,Szamlaszamok!$A545:F2101,2,FALSE)</f>
      </c>
      <c r="C546" t="str">
        <f>VLOOKUP($A546,Szamlaszamok!$A545:F2101,3,FALSE)</f>
      </c>
      <c r="D546" t="str">
        <f>VLOOKUP($A546,Szamlaszamok!$A545:F2101,4,FALSE)</f>
      </c>
      <c r="E546" t="str">
        <f>DATE(YEAR(D546),MONTH(D546),DAY(D546))</f>
      </c>
      <c r="F546" t="str">
        <f>CONCATENATE(C546,E546)</f>
      </c>
      <c r="G546" t="str">
        <f>TIMEVALUE(D546)</f>
      </c>
      <c r="H546" t="str">
        <f>COUNTIF(Szamlaszamok!A:A,A546)</f>
      </c>
      <c r="I546" t="str">
        <f>SUMIFS(Szamlaszamok!E:E,Szamlaszamok!A:A,Szamlaszamok_nonduplicate!A546)</f>
      </c>
    </row>
    <row r="547" spans="1:9">
      <c r="A547" t="s">
        <v>2023</v>
      </c>
      <c r="B547" t="str">
        <f>VLOOKUP($A547,Szamlaszamok!$A546:F2102,2,FALSE)</f>
      </c>
      <c r="C547" t="str">
        <f>VLOOKUP($A547,Szamlaszamok!$A546:F2102,3,FALSE)</f>
      </c>
      <c r="D547" t="str">
        <f>VLOOKUP($A547,Szamlaszamok!$A546:F2102,4,FALSE)</f>
      </c>
      <c r="E547" t="str">
        <f>DATE(YEAR(D547),MONTH(D547),DAY(D547))</f>
      </c>
      <c r="F547" t="str">
        <f>CONCATENATE(C547,E547)</f>
      </c>
      <c r="G547" t="str">
        <f>TIMEVALUE(D547)</f>
      </c>
      <c r="H547" t="str">
        <f>COUNTIF(Szamlaszamok!A:A,A547)</f>
      </c>
      <c r="I547" t="str">
        <f>SUMIFS(Szamlaszamok!E:E,Szamlaszamok!A:A,Szamlaszamok_nonduplicate!A547)</f>
      </c>
    </row>
    <row r="548" spans="1:9">
      <c r="A548" t="s">
        <v>2027</v>
      </c>
      <c r="B548" t="str">
        <f>VLOOKUP($A548,Szamlaszamok!$A547:F2103,2,FALSE)</f>
      </c>
      <c r="C548" t="str">
        <f>VLOOKUP($A548,Szamlaszamok!$A547:F2103,3,FALSE)</f>
      </c>
      <c r="D548" t="str">
        <f>VLOOKUP($A548,Szamlaszamok!$A547:F2103,4,FALSE)</f>
      </c>
      <c r="E548" t="str">
        <f>DATE(YEAR(D548),MONTH(D548),DAY(D548))</f>
      </c>
      <c r="F548" t="str">
        <f>CONCATENATE(C548,E548)</f>
      </c>
      <c r="G548" t="str">
        <f>TIMEVALUE(D548)</f>
      </c>
      <c r="H548" t="str">
        <f>COUNTIF(Szamlaszamok!A:A,A548)</f>
      </c>
      <c r="I548" t="str">
        <f>SUMIFS(Szamlaszamok!E:E,Szamlaszamok!A:A,Szamlaszamok_nonduplicate!A548)</f>
      </c>
    </row>
    <row r="549" spans="1:9">
      <c r="A549" t="s">
        <v>2031</v>
      </c>
      <c r="B549" t="str">
        <f>VLOOKUP($A549,Szamlaszamok!$A548:F2104,2,FALSE)</f>
      </c>
      <c r="C549" t="str">
        <f>VLOOKUP($A549,Szamlaszamok!$A548:F2104,3,FALSE)</f>
      </c>
      <c r="D549" t="str">
        <f>VLOOKUP($A549,Szamlaszamok!$A548:F2104,4,FALSE)</f>
      </c>
      <c r="E549" t="str">
        <f>DATE(YEAR(D549),MONTH(D549),DAY(D549))</f>
      </c>
      <c r="F549" t="str">
        <f>CONCATENATE(C549,E549)</f>
      </c>
      <c r="G549" t="str">
        <f>TIMEVALUE(D549)</f>
      </c>
      <c r="H549" t="str">
        <f>COUNTIF(Szamlaszamok!A:A,A549)</f>
      </c>
      <c r="I549" t="str">
        <f>SUMIFS(Szamlaszamok!E:E,Szamlaszamok!A:A,Szamlaszamok_nonduplicate!A549)</f>
      </c>
    </row>
    <row r="550" spans="1:9">
      <c r="A550" t="s">
        <v>2035</v>
      </c>
      <c r="B550" t="str">
        <f>VLOOKUP($A550,Szamlaszamok!$A549:F2105,2,FALSE)</f>
      </c>
      <c r="C550" t="str">
        <f>VLOOKUP($A550,Szamlaszamok!$A549:F2105,3,FALSE)</f>
      </c>
      <c r="D550" t="str">
        <f>VLOOKUP($A550,Szamlaszamok!$A549:F2105,4,FALSE)</f>
      </c>
      <c r="E550" t="str">
        <f>DATE(YEAR(D550),MONTH(D550),DAY(D550))</f>
      </c>
      <c r="F550" t="str">
        <f>CONCATENATE(C550,E550)</f>
      </c>
      <c r="G550" t="str">
        <f>TIMEVALUE(D550)</f>
      </c>
      <c r="H550" t="str">
        <f>COUNTIF(Szamlaszamok!A:A,A550)</f>
      </c>
      <c r="I550" t="str">
        <f>SUMIFS(Szamlaszamok!E:E,Szamlaszamok!A:A,Szamlaszamok_nonduplicate!A550)</f>
      </c>
    </row>
    <row r="551" spans="1:9">
      <c r="A551" t="s">
        <v>2040</v>
      </c>
      <c r="B551" t="str">
        <f>VLOOKUP($A551,Szamlaszamok!$A550:F2106,2,FALSE)</f>
      </c>
      <c r="C551" t="str">
        <f>VLOOKUP($A551,Szamlaszamok!$A550:F2106,3,FALSE)</f>
      </c>
      <c r="D551" t="str">
        <f>VLOOKUP($A551,Szamlaszamok!$A550:F2106,4,FALSE)</f>
      </c>
      <c r="E551" t="str">
        <f>DATE(YEAR(D551),MONTH(D551),DAY(D551))</f>
      </c>
      <c r="F551" t="str">
        <f>CONCATENATE(C551,E551)</f>
      </c>
      <c r="G551" t="str">
        <f>TIMEVALUE(D551)</f>
      </c>
      <c r="H551" t="str">
        <f>COUNTIF(Szamlaszamok!A:A,A551)</f>
      </c>
      <c r="I551" t="str">
        <f>SUMIFS(Szamlaszamok!E:E,Szamlaszamok!A:A,Szamlaszamok_nonduplicate!A551)</f>
      </c>
    </row>
    <row r="552" spans="1:9">
      <c r="A552" t="s">
        <v>2044</v>
      </c>
      <c r="B552" t="str">
        <f>VLOOKUP($A552,Szamlaszamok!$A551:F2107,2,FALSE)</f>
      </c>
      <c r="C552" t="str">
        <f>VLOOKUP($A552,Szamlaszamok!$A551:F2107,3,FALSE)</f>
      </c>
      <c r="D552" t="str">
        <f>VLOOKUP($A552,Szamlaszamok!$A551:F2107,4,FALSE)</f>
      </c>
      <c r="E552" t="str">
        <f>DATE(YEAR(D552),MONTH(D552),DAY(D552))</f>
      </c>
      <c r="F552" t="str">
        <f>CONCATENATE(C552,E552)</f>
      </c>
      <c r="G552" t="str">
        <f>TIMEVALUE(D552)</f>
      </c>
      <c r="H552" t="str">
        <f>COUNTIF(Szamlaszamok!A:A,A552)</f>
      </c>
      <c r="I552" t="str">
        <f>SUMIFS(Szamlaszamok!E:E,Szamlaszamok!A:A,Szamlaszamok_nonduplicate!A552)</f>
      </c>
    </row>
    <row r="553" spans="1:9">
      <c r="A553" t="s">
        <v>2048</v>
      </c>
      <c r="B553" t="str">
        <f>VLOOKUP($A553,Szamlaszamok!$A552:F2108,2,FALSE)</f>
      </c>
      <c r="C553" t="str">
        <f>VLOOKUP($A553,Szamlaszamok!$A552:F2108,3,FALSE)</f>
      </c>
      <c r="D553" t="str">
        <f>VLOOKUP($A553,Szamlaszamok!$A552:F2108,4,FALSE)</f>
      </c>
      <c r="E553" t="str">
        <f>DATE(YEAR(D553),MONTH(D553),DAY(D553))</f>
      </c>
      <c r="F553" t="str">
        <f>CONCATENATE(C553,E553)</f>
      </c>
      <c r="G553" t="str">
        <f>TIMEVALUE(D553)</f>
      </c>
      <c r="H553" t="str">
        <f>COUNTIF(Szamlaszamok!A:A,A553)</f>
      </c>
      <c r="I553" t="str">
        <f>SUMIFS(Szamlaszamok!E:E,Szamlaszamok!A:A,Szamlaszamok_nonduplicate!A553)</f>
      </c>
    </row>
    <row r="554" spans="1:9">
      <c r="A554" t="s">
        <v>2056</v>
      </c>
      <c r="B554" t="str">
        <f>VLOOKUP($A554,Szamlaszamok!$A553:F2109,2,FALSE)</f>
      </c>
      <c r="C554" t="str">
        <f>VLOOKUP($A554,Szamlaszamok!$A553:F2109,3,FALSE)</f>
      </c>
      <c r="D554" t="str">
        <f>VLOOKUP($A554,Szamlaszamok!$A553:F2109,4,FALSE)</f>
      </c>
      <c r="E554" t="str">
        <f>DATE(YEAR(D554),MONTH(D554),DAY(D554))</f>
      </c>
      <c r="F554" t="str">
        <f>CONCATENATE(C554,E554)</f>
      </c>
      <c r="G554" t="str">
        <f>TIMEVALUE(D554)</f>
      </c>
      <c r="H554" t="str">
        <f>COUNTIF(Szamlaszamok!A:A,A554)</f>
      </c>
      <c r="I554" t="str">
        <f>SUMIFS(Szamlaszamok!E:E,Szamlaszamok!A:A,Szamlaszamok_nonduplicate!A554)</f>
      </c>
    </row>
    <row r="555" spans="1:9">
      <c r="A555" t="s">
        <v>2060</v>
      </c>
      <c r="B555" t="str">
        <f>VLOOKUP($A555,Szamlaszamok!$A554:F2110,2,FALSE)</f>
      </c>
      <c r="C555" t="str">
        <f>VLOOKUP($A555,Szamlaszamok!$A554:F2110,3,FALSE)</f>
      </c>
      <c r="D555" t="str">
        <f>VLOOKUP($A555,Szamlaszamok!$A554:F2110,4,FALSE)</f>
      </c>
      <c r="E555" t="str">
        <f>DATE(YEAR(D555),MONTH(D555),DAY(D555))</f>
      </c>
      <c r="F555" t="str">
        <f>CONCATENATE(C555,E555)</f>
      </c>
      <c r="G555" t="str">
        <f>TIMEVALUE(D555)</f>
      </c>
      <c r="H555" t="str">
        <f>COUNTIF(Szamlaszamok!A:A,A555)</f>
      </c>
      <c r="I555" t="str">
        <f>SUMIFS(Szamlaszamok!E:E,Szamlaszamok!A:A,Szamlaszamok_nonduplicate!A555)</f>
      </c>
    </row>
    <row r="556" spans="1:9">
      <c r="A556" t="s">
        <v>2064</v>
      </c>
      <c r="B556" t="str">
        <f>VLOOKUP($A556,Szamlaszamok!$A555:F2111,2,FALSE)</f>
      </c>
      <c r="C556" t="str">
        <f>VLOOKUP($A556,Szamlaszamok!$A555:F2111,3,FALSE)</f>
      </c>
      <c r="D556" t="str">
        <f>VLOOKUP($A556,Szamlaszamok!$A555:F2111,4,FALSE)</f>
      </c>
      <c r="E556" t="str">
        <f>DATE(YEAR(D556),MONTH(D556),DAY(D556))</f>
      </c>
      <c r="F556" t="str">
        <f>CONCATENATE(C556,E556)</f>
      </c>
      <c r="G556" t="str">
        <f>TIMEVALUE(D556)</f>
      </c>
      <c r="H556" t="str">
        <f>COUNTIF(Szamlaszamok!A:A,A556)</f>
      </c>
      <c r="I556" t="str">
        <f>SUMIFS(Szamlaszamok!E:E,Szamlaszamok!A:A,Szamlaszamok_nonduplicate!A556)</f>
      </c>
    </row>
    <row r="557" spans="1:9">
      <c r="A557" t="s">
        <v>2068</v>
      </c>
      <c r="B557" t="str">
        <f>VLOOKUP($A557,Szamlaszamok!$A556:F2112,2,FALSE)</f>
      </c>
      <c r="C557" t="str">
        <f>VLOOKUP($A557,Szamlaszamok!$A556:F2112,3,FALSE)</f>
      </c>
      <c r="D557" t="str">
        <f>VLOOKUP($A557,Szamlaszamok!$A556:F2112,4,FALSE)</f>
      </c>
      <c r="E557" t="str">
        <f>DATE(YEAR(D557),MONTH(D557),DAY(D557))</f>
      </c>
      <c r="F557" t="str">
        <f>CONCATENATE(C557,E557)</f>
      </c>
      <c r="G557" t="str">
        <f>TIMEVALUE(D557)</f>
      </c>
      <c r="H557" t="str">
        <f>COUNTIF(Szamlaszamok!A:A,A557)</f>
      </c>
      <c r="I557" t="str">
        <f>SUMIFS(Szamlaszamok!E:E,Szamlaszamok!A:A,Szamlaszamok_nonduplicate!A557)</f>
      </c>
    </row>
    <row r="558" spans="1:9">
      <c r="A558" t="s">
        <v>2072</v>
      </c>
      <c r="B558" t="str">
        <f>VLOOKUP($A558,Szamlaszamok!$A557:F2113,2,FALSE)</f>
      </c>
      <c r="C558" t="str">
        <f>VLOOKUP($A558,Szamlaszamok!$A557:F2113,3,FALSE)</f>
      </c>
      <c r="D558" t="str">
        <f>VLOOKUP($A558,Szamlaszamok!$A557:F2113,4,FALSE)</f>
      </c>
      <c r="E558" t="str">
        <f>DATE(YEAR(D558),MONTH(D558),DAY(D558))</f>
      </c>
      <c r="F558" t="str">
        <f>CONCATENATE(C558,E558)</f>
      </c>
      <c r="G558" t="str">
        <f>TIMEVALUE(D558)</f>
      </c>
      <c r="H558" t="str">
        <f>COUNTIF(Szamlaszamok!A:A,A558)</f>
      </c>
      <c r="I558" t="str">
        <f>SUMIFS(Szamlaszamok!E:E,Szamlaszamok!A:A,Szamlaszamok_nonduplicate!A558)</f>
      </c>
    </row>
    <row r="559" spans="1:9">
      <c r="A559" t="s">
        <v>2077</v>
      </c>
      <c r="B559" t="str">
        <f>VLOOKUP($A559,Szamlaszamok!$A558:F2114,2,FALSE)</f>
      </c>
      <c r="C559" t="str">
        <f>VLOOKUP($A559,Szamlaszamok!$A558:F2114,3,FALSE)</f>
      </c>
      <c r="D559" t="str">
        <f>VLOOKUP($A559,Szamlaszamok!$A558:F2114,4,FALSE)</f>
      </c>
      <c r="E559" t="str">
        <f>DATE(YEAR(D559),MONTH(D559),DAY(D559))</f>
      </c>
      <c r="F559" t="str">
        <f>CONCATENATE(C559,E559)</f>
      </c>
      <c r="G559" t="str">
        <f>TIMEVALUE(D559)</f>
      </c>
      <c r="H559" t="str">
        <f>COUNTIF(Szamlaszamok!A:A,A559)</f>
      </c>
      <c r="I559" t="str">
        <f>SUMIFS(Szamlaszamok!E:E,Szamlaszamok!A:A,Szamlaszamok_nonduplicate!A559)</f>
      </c>
    </row>
    <row r="560" spans="1:9">
      <c r="A560" t="s">
        <v>2081</v>
      </c>
      <c r="B560" t="str">
        <f>VLOOKUP($A560,Szamlaszamok!$A559:F2115,2,FALSE)</f>
      </c>
      <c r="C560" t="str">
        <f>VLOOKUP($A560,Szamlaszamok!$A559:F2115,3,FALSE)</f>
      </c>
      <c r="D560" t="str">
        <f>VLOOKUP($A560,Szamlaszamok!$A559:F2115,4,FALSE)</f>
      </c>
      <c r="E560" t="str">
        <f>DATE(YEAR(D560),MONTH(D560),DAY(D560))</f>
      </c>
      <c r="F560" t="str">
        <f>CONCATENATE(C560,E560)</f>
      </c>
      <c r="G560" t="str">
        <f>TIMEVALUE(D560)</f>
      </c>
      <c r="H560" t="str">
        <f>COUNTIF(Szamlaszamok!A:A,A560)</f>
      </c>
      <c r="I560" t="str">
        <f>SUMIFS(Szamlaszamok!E:E,Szamlaszamok!A:A,Szamlaszamok_nonduplicate!A560)</f>
      </c>
    </row>
    <row r="561" spans="1:9">
      <c r="A561" t="s">
        <v>2085</v>
      </c>
      <c r="B561" t="str">
        <f>VLOOKUP($A561,Szamlaszamok!$A560:F2116,2,FALSE)</f>
      </c>
      <c r="C561" t="str">
        <f>VLOOKUP($A561,Szamlaszamok!$A560:F2116,3,FALSE)</f>
      </c>
      <c r="D561" t="str">
        <f>VLOOKUP($A561,Szamlaszamok!$A560:F2116,4,FALSE)</f>
      </c>
      <c r="E561" t="str">
        <f>DATE(YEAR(D561),MONTH(D561),DAY(D561))</f>
      </c>
      <c r="F561" t="str">
        <f>CONCATENATE(C561,E561)</f>
      </c>
      <c r="G561" t="str">
        <f>TIMEVALUE(D561)</f>
      </c>
      <c r="H561" t="str">
        <f>COUNTIF(Szamlaszamok!A:A,A561)</f>
      </c>
      <c r="I561" t="str">
        <f>SUMIFS(Szamlaszamok!E:E,Szamlaszamok!A:A,Szamlaszamok_nonduplicate!A561)</f>
      </c>
    </row>
    <row r="562" spans="1:9">
      <c r="A562" t="s">
        <v>2090</v>
      </c>
      <c r="B562" t="str">
        <f>VLOOKUP($A562,Szamlaszamok!$A561:F2117,2,FALSE)</f>
      </c>
      <c r="C562" t="str">
        <f>VLOOKUP($A562,Szamlaszamok!$A561:F2117,3,FALSE)</f>
      </c>
      <c r="D562" t="str">
        <f>VLOOKUP($A562,Szamlaszamok!$A561:F2117,4,FALSE)</f>
      </c>
      <c r="E562" t="str">
        <f>DATE(YEAR(D562),MONTH(D562),DAY(D562))</f>
      </c>
      <c r="F562" t="str">
        <f>CONCATENATE(C562,E562)</f>
      </c>
      <c r="G562" t="str">
        <f>TIMEVALUE(D562)</f>
      </c>
      <c r="H562" t="str">
        <f>COUNTIF(Szamlaszamok!A:A,A562)</f>
      </c>
      <c r="I562" t="str">
        <f>SUMIFS(Szamlaszamok!E:E,Szamlaszamok!A:A,Szamlaszamok_nonduplicate!A562)</f>
      </c>
    </row>
    <row r="563" spans="1:9">
      <c r="A563" t="s">
        <v>2094</v>
      </c>
      <c r="B563" t="str">
        <f>VLOOKUP($A563,Szamlaszamok!$A562:F2118,2,FALSE)</f>
      </c>
      <c r="C563" t="str">
        <f>VLOOKUP($A563,Szamlaszamok!$A562:F2118,3,FALSE)</f>
      </c>
      <c r="D563" t="str">
        <f>VLOOKUP($A563,Szamlaszamok!$A562:F2118,4,FALSE)</f>
      </c>
      <c r="E563" t="str">
        <f>DATE(YEAR(D563),MONTH(D563),DAY(D563))</f>
      </c>
      <c r="F563" t="str">
        <f>CONCATENATE(C563,E563)</f>
      </c>
      <c r="G563" t="str">
        <f>TIMEVALUE(D563)</f>
      </c>
      <c r="H563" t="str">
        <f>COUNTIF(Szamlaszamok!A:A,A563)</f>
      </c>
      <c r="I563" t="str">
        <f>SUMIFS(Szamlaszamok!E:E,Szamlaszamok!A:A,Szamlaszamok_nonduplicate!A563)</f>
      </c>
    </row>
    <row r="564" spans="1:9">
      <c r="A564" t="s">
        <v>2098</v>
      </c>
      <c r="B564" t="str">
        <f>VLOOKUP($A564,Szamlaszamok!$A563:F2119,2,FALSE)</f>
      </c>
      <c r="C564" t="str">
        <f>VLOOKUP($A564,Szamlaszamok!$A563:F2119,3,FALSE)</f>
      </c>
      <c r="D564" t="str">
        <f>VLOOKUP($A564,Szamlaszamok!$A563:F2119,4,FALSE)</f>
      </c>
      <c r="E564" t="str">
        <f>DATE(YEAR(D564),MONTH(D564),DAY(D564))</f>
      </c>
      <c r="F564" t="str">
        <f>CONCATENATE(C564,E564)</f>
      </c>
      <c r="G564" t="str">
        <f>TIMEVALUE(D564)</f>
      </c>
      <c r="H564" t="str">
        <f>COUNTIF(Szamlaszamok!A:A,A564)</f>
      </c>
      <c r="I564" t="str">
        <f>SUMIFS(Szamlaszamok!E:E,Szamlaszamok!A:A,Szamlaszamok_nonduplicate!A564)</f>
      </c>
    </row>
    <row r="565" spans="1:9">
      <c r="A565" t="s">
        <v>2102</v>
      </c>
      <c r="B565" t="str">
        <f>VLOOKUP($A565,Szamlaszamok!$A564:F2120,2,FALSE)</f>
      </c>
      <c r="C565" t="str">
        <f>VLOOKUP($A565,Szamlaszamok!$A564:F2120,3,FALSE)</f>
      </c>
      <c r="D565" t="str">
        <f>VLOOKUP($A565,Szamlaszamok!$A564:F2120,4,FALSE)</f>
      </c>
      <c r="E565" t="str">
        <f>DATE(YEAR(D565),MONTH(D565),DAY(D565))</f>
      </c>
      <c r="F565" t="str">
        <f>CONCATENATE(C565,E565)</f>
      </c>
      <c r="G565" t="str">
        <f>TIMEVALUE(D565)</f>
      </c>
      <c r="H565" t="str">
        <f>COUNTIF(Szamlaszamok!A:A,A565)</f>
      </c>
      <c r="I565" t="str">
        <f>SUMIFS(Szamlaszamok!E:E,Szamlaszamok!A:A,Szamlaszamok_nonduplicate!A565)</f>
      </c>
    </row>
    <row r="566" spans="1:9">
      <c r="A566" t="s">
        <v>2106</v>
      </c>
      <c r="B566" t="str">
        <f>VLOOKUP($A566,Szamlaszamok!$A565:F2121,2,FALSE)</f>
      </c>
      <c r="C566" t="str">
        <f>VLOOKUP($A566,Szamlaszamok!$A565:F2121,3,FALSE)</f>
      </c>
      <c r="D566" t="str">
        <f>VLOOKUP($A566,Szamlaszamok!$A565:F2121,4,FALSE)</f>
      </c>
      <c r="E566" t="str">
        <f>DATE(YEAR(D566),MONTH(D566),DAY(D566))</f>
      </c>
      <c r="F566" t="str">
        <f>CONCATENATE(C566,E566)</f>
      </c>
      <c r="G566" t="str">
        <f>TIMEVALUE(D566)</f>
      </c>
      <c r="H566" t="str">
        <f>COUNTIF(Szamlaszamok!A:A,A566)</f>
      </c>
      <c r="I566" t="str">
        <f>SUMIFS(Szamlaszamok!E:E,Szamlaszamok!A:A,Szamlaszamok_nonduplicate!A566)</f>
      </c>
    </row>
    <row r="567" spans="1:9">
      <c r="A567" t="s">
        <v>2110</v>
      </c>
      <c r="B567" t="str">
        <f>VLOOKUP($A567,Szamlaszamok!$A566:F2122,2,FALSE)</f>
      </c>
      <c r="C567" t="str">
        <f>VLOOKUP($A567,Szamlaszamok!$A566:F2122,3,FALSE)</f>
      </c>
      <c r="D567" t="str">
        <f>VLOOKUP($A567,Szamlaszamok!$A566:F2122,4,FALSE)</f>
      </c>
      <c r="E567" t="str">
        <f>DATE(YEAR(D567),MONTH(D567),DAY(D567))</f>
      </c>
      <c r="F567" t="str">
        <f>CONCATENATE(C567,E567)</f>
      </c>
      <c r="G567" t="str">
        <f>TIMEVALUE(D567)</f>
      </c>
      <c r="H567" t="str">
        <f>COUNTIF(Szamlaszamok!A:A,A567)</f>
      </c>
      <c r="I567" t="str">
        <f>SUMIFS(Szamlaszamok!E:E,Szamlaszamok!A:A,Szamlaszamok_nonduplicate!A567)</f>
      </c>
    </row>
    <row r="568" spans="1:9">
      <c r="A568" t="s">
        <v>2113</v>
      </c>
      <c r="B568" t="str">
        <f>VLOOKUP($A568,Szamlaszamok!$A567:F2123,2,FALSE)</f>
      </c>
      <c r="C568" t="str">
        <f>VLOOKUP($A568,Szamlaszamok!$A567:F2123,3,FALSE)</f>
      </c>
      <c r="D568" t="str">
        <f>VLOOKUP($A568,Szamlaszamok!$A567:F2123,4,FALSE)</f>
      </c>
      <c r="E568" t="str">
        <f>DATE(YEAR(D568),MONTH(D568),DAY(D568))</f>
      </c>
      <c r="F568" t="str">
        <f>CONCATENATE(C568,E568)</f>
      </c>
      <c r="G568" t="str">
        <f>TIMEVALUE(D568)</f>
      </c>
      <c r="H568" t="str">
        <f>COUNTIF(Szamlaszamok!A:A,A568)</f>
      </c>
      <c r="I568" t="str">
        <f>SUMIFS(Szamlaszamok!E:E,Szamlaszamok!A:A,Szamlaszamok_nonduplicate!A568)</f>
      </c>
    </row>
    <row r="569" spans="1:9">
      <c r="A569" t="s">
        <v>2117</v>
      </c>
      <c r="B569" t="str">
        <f>VLOOKUP($A569,Szamlaszamok!$A568:F2124,2,FALSE)</f>
      </c>
      <c r="C569" t="str">
        <f>VLOOKUP($A569,Szamlaszamok!$A568:F2124,3,FALSE)</f>
      </c>
      <c r="D569" t="str">
        <f>VLOOKUP($A569,Szamlaszamok!$A568:F2124,4,FALSE)</f>
      </c>
      <c r="E569" t="str">
        <f>DATE(YEAR(D569),MONTH(D569),DAY(D569))</f>
      </c>
      <c r="F569" t="str">
        <f>CONCATENATE(C569,E569)</f>
      </c>
      <c r="G569" t="str">
        <f>TIMEVALUE(D569)</f>
      </c>
      <c r="H569" t="str">
        <f>COUNTIF(Szamlaszamok!A:A,A569)</f>
      </c>
      <c r="I569" t="str">
        <f>SUMIFS(Szamlaszamok!E:E,Szamlaszamok!A:A,Szamlaszamok_nonduplicate!A569)</f>
      </c>
    </row>
    <row r="570" spans="1:9">
      <c r="A570" t="s">
        <v>2120</v>
      </c>
      <c r="B570" t="str">
        <f>VLOOKUP($A570,Szamlaszamok!$A569:F2125,2,FALSE)</f>
      </c>
      <c r="C570" t="str">
        <f>VLOOKUP($A570,Szamlaszamok!$A569:F2125,3,FALSE)</f>
      </c>
      <c r="D570" t="str">
        <f>VLOOKUP($A570,Szamlaszamok!$A569:F2125,4,FALSE)</f>
      </c>
      <c r="E570" t="str">
        <f>DATE(YEAR(D570),MONTH(D570),DAY(D570))</f>
      </c>
      <c r="F570" t="str">
        <f>CONCATENATE(C570,E570)</f>
      </c>
      <c r="G570" t="str">
        <f>TIMEVALUE(D570)</f>
      </c>
      <c r="H570" t="str">
        <f>COUNTIF(Szamlaszamok!A:A,A570)</f>
      </c>
      <c r="I570" t="str">
        <f>SUMIFS(Szamlaszamok!E:E,Szamlaszamok!A:A,Szamlaszamok_nonduplicate!A570)</f>
      </c>
    </row>
    <row r="571" spans="1:9">
      <c r="A571" t="s">
        <v>2124</v>
      </c>
      <c r="B571" t="str">
        <f>VLOOKUP($A571,Szamlaszamok!$A570:F2126,2,FALSE)</f>
      </c>
      <c r="C571" t="str">
        <f>VLOOKUP($A571,Szamlaszamok!$A570:F2126,3,FALSE)</f>
      </c>
      <c r="D571" t="str">
        <f>VLOOKUP($A571,Szamlaszamok!$A570:F2126,4,FALSE)</f>
      </c>
      <c r="E571" t="str">
        <f>DATE(YEAR(D571),MONTH(D571),DAY(D571))</f>
      </c>
      <c r="F571" t="str">
        <f>CONCATENATE(C571,E571)</f>
      </c>
      <c r="G571" t="str">
        <f>TIMEVALUE(D571)</f>
      </c>
      <c r="H571" t="str">
        <f>COUNTIF(Szamlaszamok!A:A,A571)</f>
      </c>
      <c r="I571" t="str">
        <f>SUMIFS(Szamlaszamok!E:E,Szamlaszamok!A:A,Szamlaszamok_nonduplicate!A571)</f>
      </c>
    </row>
    <row r="572" spans="1:9">
      <c r="A572" t="s">
        <v>2127</v>
      </c>
      <c r="B572" t="str">
        <f>VLOOKUP($A572,Szamlaszamok!$A571:F2127,2,FALSE)</f>
      </c>
      <c r="C572" t="str">
        <f>VLOOKUP($A572,Szamlaszamok!$A571:F2127,3,FALSE)</f>
      </c>
      <c r="D572" t="str">
        <f>VLOOKUP($A572,Szamlaszamok!$A571:F2127,4,FALSE)</f>
      </c>
      <c r="E572" t="str">
        <f>DATE(YEAR(D572),MONTH(D572),DAY(D572))</f>
      </c>
      <c r="F572" t="str">
        <f>CONCATENATE(C572,E572)</f>
      </c>
      <c r="G572" t="str">
        <f>TIMEVALUE(D572)</f>
      </c>
      <c r="H572" t="str">
        <f>COUNTIF(Szamlaszamok!A:A,A572)</f>
      </c>
      <c r="I572" t="str">
        <f>SUMIFS(Szamlaszamok!E:E,Szamlaszamok!A:A,Szamlaszamok_nonduplicate!A572)</f>
      </c>
    </row>
    <row r="573" spans="1:9">
      <c r="A573" t="s">
        <v>2131</v>
      </c>
      <c r="B573" t="str">
        <f>VLOOKUP($A573,Szamlaszamok!$A572:F2128,2,FALSE)</f>
      </c>
      <c r="C573" t="str">
        <f>VLOOKUP($A573,Szamlaszamok!$A572:F2128,3,FALSE)</f>
      </c>
      <c r="D573" t="str">
        <f>VLOOKUP($A573,Szamlaszamok!$A572:F2128,4,FALSE)</f>
      </c>
      <c r="E573" t="str">
        <f>DATE(YEAR(D573),MONTH(D573),DAY(D573))</f>
      </c>
      <c r="F573" t="str">
        <f>CONCATENATE(C573,E573)</f>
      </c>
      <c r="G573" t="str">
        <f>TIMEVALUE(D573)</f>
      </c>
      <c r="H573" t="str">
        <f>COUNTIF(Szamlaszamok!A:A,A573)</f>
      </c>
      <c r="I573" t="str">
        <f>SUMIFS(Szamlaszamok!E:E,Szamlaszamok!A:A,Szamlaszamok_nonduplicate!A573)</f>
      </c>
    </row>
    <row r="574" spans="1:9">
      <c r="A574" t="s">
        <v>2134</v>
      </c>
      <c r="B574" t="str">
        <f>VLOOKUP($A574,Szamlaszamok!$A573:F2129,2,FALSE)</f>
      </c>
      <c r="C574" t="str">
        <f>VLOOKUP($A574,Szamlaszamok!$A573:F2129,3,FALSE)</f>
      </c>
      <c r="D574" t="str">
        <f>VLOOKUP($A574,Szamlaszamok!$A573:F2129,4,FALSE)</f>
      </c>
      <c r="E574" t="str">
        <f>DATE(YEAR(D574),MONTH(D574),DAY(D574))</f>
      </c>
      <c r="F574" t="str">
        <f>CONCATENATE(C574,E574)</f>
      </c>
      <c r="G574" t="str">
        <f>TIMEVALUE(D574)</f>
      </c>
      <c r="H574" t="str">
        <f>COUNTIF(Szamlaszamok!A:A,A574)</f>
      </c>
      <c r="I574" t="str">
        <f>SUMIFS(Szamlaszamok!E:E,Szamlaszamok!A:A,Szamlaszamok_nonduplicate!A574)</f>
      </c>
    </row>
    <row r="575" spans="1:9">
      <c r="A575" t="s">
        <v>2137</v>
      </c>
      <c r="B575" t="str">
        <f>VLOOKUP($A575,Szamlaszamok!$A574:F2130,2,FALSE)</f>
      </c>
      <c r="C575" t="str">
        <f>VLOOKUP($A575,Szamlaszamok!$A574:F2130,3,FALSE)</f>
      </c>
      <c r="D575" t="str">
        <f>VLOOKUP($A575,Szamlaszamok!$A574:F2130,4,FALSE)</f>
      </c>
      <c r="E575" t="str">
        <f>DATE(YEAR(D575),MONTH(D575),DAY(D575))</f>
      </c>
      <c r="F575" t="str">
        <f>CONCATENATE(C575,E575)</f>
      </c>
      <c r="G575" t="str">
        <f>TIMEVALUE(D575)</f>
      </c>
      <c r="H575" t="str">
        <f>COUNTIF(Szamlaszamok!A:A,A575)</f>
      </c>
      <c r="I575" t="str">
        <f>SUMIFS(Szamlaszamok!E:E,Szamlaszamok!A:A,Szamlaszamok_nonduplicate!A575)</f>
      </c>
    </row>
    <row r="576" spans="1:9">
      <c r="A576" t="s">
        <v>2141</v>
      </c>
      <c r="B576" t="str">
        <f>VLOOKUP($A576,Szamlaszamok!$A575:F2131,2,FALSE)</f>
      </c>
      <c r="C576" t="str">
        <f>VLOOKUP($A576,Szamlaszamok!$A575:F2131,3,FALSE)</f>
      </c>
      <c r="D576" t="str">
        <f>VLOOKUP($A576,Szamlaszamok!$A575:F2131,4,FALSE)</f>
      </c>
      <c r="E576" t="str">
        <f>DATE(YEAR(D576),MONTH(D576),DAY(D576))</f>
      </c>
      <c r="F576" t="str">
        <f>CONCATENATE(C576,E576)</f>
      </c>
      <c r="G576" t="str">
        <f>TIMEVALUE(D576)</f>
      </c>
      <c r="H576" t="str">
        <f>COUNTIF(Szamlaszamok!A:A,A576)</f>
      </c>
      <c r="I576" t="str">
        <f>SUMIFS(Szamlaszamok!E:E,Szamlaszamok!A:A,Szamlaszamok_nonduplicate!A576)</f>
      </c>
    </row>
    <row r="577" spans="1:9">
      <c r="A577" t="s">
        <v>2144</v>
      </c>
      <c r="B577" t="str">
        <f>VLOOKUP($A577,Szamlaszamok!$A576:F2132,2,FALSE)</f>
      </c>
      <c r="C577" t="str">
        <f>VLOOKUP($A577,Szamlaszamok!$A576:F2132,3,FALSE)</f>
      </c>
      <c r="D577" t="str">
        <f>VLOOKUP($A577,Szamlaszamok!$A576:F2132,4,FALSE)</f>
      </c>
      <c r="E577" t="str">
        <f>DATE(YEAR(D577),MONTH(D577),DAY(D577))</f>
      </c>
      <c r="F577" t="str">
        <f>CONCATENATE(C577,E577)</f>
      </c>
      <c r="G577" t="str">
        <f>TIMEVALUE(D577)</f>
      </c>
      <c r="H577" t="str">
        <f>COUNTIF(Szamlaszamok!A:A,A577)</f>
      </c>
      <c r="I577" t="str">
        <f>SUMIFS(Szamlaszamok!E:E,Szamlaszamok!A:A,Szamlaszamok_nonduplicate!A577)</f>
      </c>
    </row>
    <row r="578" spans="1:9">
      <c r="A578" t="s">
        <v>2147</v>
      </c>
      <c r="B578" t="str">
        <f>VLOOKUP($A578,Szamlaszamok!$A577:F2133,2,FALSE)</f>
      </c>
      <c r="C578" t="str">
        <f>VLOOKUP($A578,Szamlaszamok!$A577:F2133,3,FALSE)</f>
      </c>
      <c r="D578" t="str">
        <f>VLOOKUP($A578,Szamlaszamok!$A577:F2133,4,FALSE)</f>
      </c>
      <c r="E578" t="str">
        <f>DATE(YEAR(D578),MONTH(D578),DAY(D578))</f>
      </c>
      <c r="F578" t="str">
        <f>CONCATENATE(C578,E578)</f>
      </c>
      <c r="G578" t="str">
        <f>TIMEVALUE(D578)</f>
      </c>
      <c r="H578" t="str">
        <f>COUNTIF(Szamlaszamok!A:A,A578)</f>
      </c>
      <c r="I578" t="str">
        <f>SUMIFS(Szamlaszamok!E:E,Szamlaszamok!A:A,Szamlaszamok_nonduplicate!A578)</f>
      </c>
    </row>
    <row r="579" spans="1:9">
      <c r="A579" t="s">
        <v>2151</v>
      </c>
      <c r="B579" t="str">
        <f>VLOOKUP($A579,Szamlaszamok!$A578:F2134,2,FALSE)</f>
      </c>
      <c r="C579" t="str">
        <f>VLOOKUP($A579,Szamlaszamok!$A578:F2134,3,FALSE)</f>
      </c>
      <c r="D579" t="str">
        <f>VLOOKUP($A579,Szamlaszamok!$A578:F2134,4,FALSE)</f>
      </c>
      <c r="E579" t="str">
        <f>DATE(YEAR(D579),MONTH(D579),DAY(D579))</f>
      </c>
      <c r="F579" t="str">
        <f>CONCATENATE(C579,E579)</f>
      </c>
      <c r="G579" t="str">
        <f>TIMEVALUE(D579)</f>
      </c>
      <c r="H579" t="str">
        <f>COUNTIF(Szamlaszamok!A:A,A579)</f>
      </c>
      <c r="I579" t="str">
        <f>SUMIFS(Szamlaszamok!E:E,Szamlaszamok!A:A,Szamlaszamok_nonduplicate!A579)</f>
      </c>
    </row>
    <row r="580" spans="1:9">
      <c r="A580" t="s">
        <v>2154</v>
      </c>
      <c r="B580" t="str">
        <f>VLOOKUP($A580,Szamlaszamok!$A579:F2135,2,FALSE)</f>
      </c>
      <c r="C580" t="str">
        <f>VLOOKUP($A580,Szamlaszamok!$A579:F2135,3,FALSE)</f>
      </c>
      <c r="D580" t="str">
        <f>VLOOKUP($A580,Szamlaszamok!$A579:F2135,4,FALSE)</f>
      </c>
      <c r="E580" t="str">
        <f>DATE(YEAR(D580),MONTH(D580),DAY(D580))</f>
      </c>
      <c r="F580" t="str">
        <f>CONCATENATE(C580,E580)</f>
      </c>
      <c r="G580" t="str">
        <f>TIMEVALUE(D580)</f>
      </c>
      <c r="H580" t="str">
        <f>COUNTIF(Szamlaszamok!A:A,A580)</f>
      </c>
      <c r="I580" t="str">
        <f>SUMIFS(Szamlaszamok!E:E,Szamlaszamok!A:A,Szamlaszamok_nonduplicate!A580)</f>
      </c>
    </row>
    <row r="581" spans="1:9">
      <c r="A581" t="s">
        <v>2159</v>
      </c>
      <c r="B581" t="str">
        <f>VLOOKUP($A581,Szamlaszamok!$A580:F2136,2,FALSE)</f>
      </c>
      <c r="C581" t="str">
        <f>VLOOKUP($A581,Szamlaszamok!$A580:F2136,3,FALSE)</f>
      </c>
      <c r="D581" t="str">
        <f>VLOOKUP($A581,Szamlaszamok!$A580:F2136,4,FALSE)</f>
      </c>
      <c r="E581" t="str">
        <f>DATE(YEAR(D581),MONTH(D581),DAY(D581))</f>
      </c>
      <c r="F581" t="str">
        <f>CONCATENATE(C581,E581)</f>
      </c>
      <c r="G581" t="str">
        <f>TIMEVALUE(D581)</f>
      </c>
      <c r="H581" t="str">
        <f>COUNTIF(Szamlaszamok!A:A,A581)</f>
      </c>
      <c r="I581" t="str">
        <f>SUMIFS(Szamlaszamok!E:E,Szamlaszamok!A:A,Szamlaszamok_nonduplicate!A581)</f>
      </c>
    </row>
    <row r="582" spans="1:9">
      <c r="A582" t="s">
        <v>2163</v>
      </c>
      <c r="B582" t="str">
        <f>VLOOKUP($A582,Szamlaszamok!$A581:F2137,2,FALSE)</f>
      </c>
      <c r="C582" t="str">
        <f>VLOOKUP($A582,Szamlaszamok!$A581:F2137,3,FALSE)</f>
      </c>
      <c r="D582" t="str">
        <f>VLOOKUP($A582,Szamlaszamok!$A581:F2137,4,FALSE)</f>
      </c>
      <c r="E582" t="str">
        <f>DATE(YEAR(D582),MONTH(D582),DAY(D582))</f>
      </c>
      <c r="F582" t="str">
        <f>CONCATENATE(C582,E582)</f>
      </c>
      <c r="G582" t="str">
        <f>TIMEVALUE(D582)</f>
      </c>
      <c r="H582" t="str">
        <f>COUNTIF(Szamlaszamok!A:A,A582)</f>
      </c>
      <c r="I582" t="str">
        <f>SUMIFS(Szamlaszamok!E:E,Szamlaszamok!A:A,Szamlaszamok_nonduplicate!A582)</f>
      </c>
    </row>
    <row r="583" spans="1:9">
      <c r="A583" t="s">
        <v>2168</v>
      </c>
      <c r="B583" t="str">
        <f>VLOOKUP($A583,Szamlaszamok!$A582:F2138,2,FALSE)</f>
      </c>
      <c r="C583" t="str">
        <f>VLOOKUP($A583,Szamlaszamok!$A582:F2138,3,FALSE)</f>
      </c>
      <c r="D583" t="str">
        <f>VLOOKUP($A583,Szamlaszamok!$A582:F2138,4,FALSE)</f>
      </c>
      <c r="E583" t="str">
        <f>DATE(YEAR(D583),MONTH(D583),DAY(D583))</f>
      </c>
      <c r="F583" t="str">
        <f>CONCATENATE(C583,E583)</f>
      </c>
      <c r="G583" t="str">
        <f>TIMEVALUE(D583)</f>
      </c>
      <c r="H583" t="str">
        <f>COUNTIF(Szamlaszamok!A:A,A583)</f>
      </c>
      <c r="I583" t="str">
        <f>SUMIFS(Szamlaszamok!E:E,Szamlaszamok!A:A,Szamlaszamok_nonduplicate!A583)</f>
      </c>
    </row>
    <row r="584" spans="1:9">
      <c r="A584" t="s">
        <v>2172</v>
      </c>
      <c r="B584" t="str">
        <f>VLOOKUP($A584,Szamlaszamok!$A583:F2139,2,FALSE)</f>
      </c>
      <c r="C584" t="str">
        <f>VLOOKUP($A584,Szamlaszamok!$A583:F2139,3,FALSE)</f>
      </c>
      <c r="D584" t="str">
        <f>VLOOKUP($A584,Szamlaszamok!$A583:F2139,4,FALSE)</f>
      </c>
      <c r="E584" t="str">
        <f>DATE(YEAR(D584),MONTH(D584),DAY(D584))</f>
      </c>
      <c r="F584" t="str">
        <f>CONCATENATE(C584,E584)</f>
      </c>
      <c r="G584" t="str">
        <f>TIMEVALUE(D584)</f>
      </c>
      <c r="H584" t="str">
        <f>COUNTIF(Szamlaszamok!A:A,A584)</f>
      </c>
      <c r="I584" t="str">
        <f>SUMIFS(Szamlaszamok!E:E,Szamlaszamok!A:A,Szamlaszamok_nonduplicate!A584)</f>
      </c>
    </row>
    <row r="585" spans="1:9">
      <c r="A585" t="s">
        <v>2177</v>
      </c>
      <c r="B585" t="str">
        <f>VLOOKUP($A585,Szamlaszamok!$A584:F2140,2,FALSE)</f>
      </c>
      <c r="C585" t="str">
        <f>VLOOKUP($A585,Szamlaszamok!$A584:F2140,3,FALSE)</f>
      </c>
      <c r="D585" t="str">
        <f>VLOOKUP($A585,Szamlaszamok!$A584:F2140,4,FALSE)</f>
      </c>
      <c r="E585" t="str">
        <f>DATE(YEAR(D585),MONTH(D585),DAY(D585))</f>
      </c>
      <c r="F585" t="str">
        <f>CONCATENATE(C585,E585)</f>
      </c>
      <c r="G585" t="str">
        <f>TIMEVALUE(D585)</f>
      </c>
      <c r="H585" t="str">
        <f>COUNTIF(Szamlaszamok!A:A,A585)</f>
      </c>
      <c r="I585" t="str">
        <f>SUMIFS(Szamlaszamok!E:E,Szamlaszamok!A:A,Szamlaszamok_nonduplicate!A585)</f>
      </c>
    </row>
    <row r="586" spans="1:9">
      <c r="A586" t="s">
        <v>2182</v>
      </c>
      <c r="B586" t="str">
        <f>VLOOKUP($A586,Szamlaszamok!$A585:F2141,2,FALSE)</f>
      </c>
      <c r="C586" t="str">
        <f>VLOOKUP($A586,Szamlaszamok!$A585:F2141,3,FALSE)</f>
      </c>
      <c r="D586" t="str">
        <f>VLOOKUP($A586,Szamlaszamok!$A585:F2141,4,FALSE)</f>
      </c>
      <c r="E586" t="str">
        <f>DATE(YEAR(D586),MONTH(D586),DAY(D586))</f>
      </c>
      <c r="F586" t="str">
        <f>CONCATENATE(C586,E586)</f>
      </c>
      <c r="G586" t="str">
        <f>TIMEVALUE(D586)</f>
      </c>
      <c r="H586" t="str">
        <f>COUNTIF(Szamlaszamok!A:A,A586)</f>
      </c>
      <c r="I586" t="str">
        <f>SUMIFS(Szamlaszamok!E:E,Szamlaszamok!A:A,Szamlaszamok_nonduplicate!A586)</f>
      </c>
    </row>
    <row r="587" spans="1:9">
      <c r="A587" t="s">
        <v>2186</v>
      </c>
      <c r="B587" t="str">
        <f>VLOOKUP($A587,Szamlaszamok!$A586:F2142,2,FALSE)</f>
      </c>
      <c r="C587" t="str">
        <f>VLOOKUP($A587,Szamlaszamok!$A586:F2142,3,FALSE)</f>
      </c>
      <c r="D587" t="str">
        <f>VLOOKUP($A587,Szamlaszamok!$A586:F2142,4,FALSE)</f>
      </c>
      <c r="E587" t="str">
        <f>DATE(YEAR(D587),MONTH(D587),DAY(D587))</f>
      </c>
      <c r="F587" t="str">
        <f>CONCATENATE(C587,E587)</f>
      </c>
      <c r="G587" t="str">
        <f>TIMEVALUE(D587)</f>
      </c>
      <c r="H587" t="str">
        <f>COUNTIF(Szamlaszamok!A:A,A587)</f>
      </c>
      <c r="I587" t="str">
        <f>SUMIFS(Szamlaszamok!E:E,Szamlaszamok!A:A,Szamlaszamok_nonduplicate!A587)</f>
      </c>
    </row>
    <row r="588" spans="1:9">
      <c r="A588" t="s">
        <v>2190</v>
      </c>
      <c r="B588" t="str">
        <f>VLOOKUP($A588,Szamlaszamok!$A587:F2143,2,FALSE)</f>
      </c>
      <c r="C588" t="str">
        <f>VLOOKUP($A588,Szamlaszamok!$A587:F2143,3,FALSE)</f>
      </c>
      <c r="D588" t="str">
        <f>VLOOKUP($A588,Szamlaszamok!$A587:F2143,4,FALSE)</f>
      </c>
      <c r="E588" t="str">
        <f>DATE(YEAR(D588),MONTH(D588),DAY(D588))</f>
      </c>
      <c r="F588" t="str">
        <f>CONCATENATE(C588,E588)</f>
      </c>
      <c r="G588" t="str">
        <f>TIMEVALUE(D588)</f>
      </c>
      <c r="H588" t="str">
        <f>COUNTIF(Szamlaszamok!A:A,A588)</f>
      </c>
      <c r="I588" t="str">
        <f>SUMIFS(Szamlaszamok!E:E,Szamlaszamok!A:A,Szamlaszamok_nonduplicate!A588)</f>
      </c>
    </row>
    <row r="589" spans="1:9">
      <c r="A589" t="s">
        <v>2194</v>
      </c>
      <c r="B589" t="str">
        <f>VLOOKUP($A589,Szamlaszamok!$A588:F2144,2,FALSE)</f>
      </c>
      <c r="C589" t="str">
        <f>VLOOKUP($A589,Szamlaszamok!$A588:F2144,3,FALSE)</f>
      </c>
      <c r="D589" t="str">
        <f>VLOOKUP($A589,Szamlaszamok!$A588:F2144,4,FALSE)</f>
      </c>
      <c r="E589" t="str">
        <f>DATE(YEAR(D589),MONTH(D589),DAY(D589))</f>
      </c>
      <c r="F589" t="str">
        <f>CONCATENATE(C589,E589)</f>
      </c>
      <c r="G589" t="str">
        <f>TIMEVALUE(D589)</f>
      </c>
      <c r="H589" t="str">
        <f>COUNTIF(Szamlaszamok!A:A,A589)</f>
      </c>
      <c r="I589" t="str">
        <f>SUMIFS(Szamlaszamok!E:E,Szamlaszamok!A:A,Szamlaszamok_nonduplicate!A589)</f>
      </c>
    </row>
    <row r="590" spans="1:9">
      <c r="A590" t="s">
        <v>2197</v>
      </c>
      <c r="B590" t="str">
        <f>VLOOKUP($A590,Szamlaszamok!$A589:F2145,2,FALSE)</f>
      </c>
      <c r="C590" t="str">
        <f>VLOOKUP($A590,Szamlaszamok!$A589:F2145,3,FALSE)</f>
      </c>
      <c r="D590" t="str">
        <f>VLOOKUP($A590,Szamlaszamok!$A589:F2145,4,FALSE)</f>
      </c>
      <c r="E590" t="str">
        <f>DATE(YEAR(D590),MONTH(D590),DAY(D590))</f>
      </c>
      <c r="F590" t="str">
        <f>CONCATENATE(C590,E590)</f>
      </c>
      <c r="G590" t="str">
        <f>TIMEVALUE(D590)</f>
      </c>
      <c r="H590" t="str">
        <f>COUNTIF(Szamlaszamok!A:A,A590)</f>
      </c>
      <c r="I590" t="str">
        <f>SUMIFS(Szamlaszamok!E:E,Szamlaszamok!A:A,Szamlaszamok_nonduplicate!A590)</f>
      </c>
    </row>
    <row r="591" spans="1:9">
      <c r="A591" t="s">
        <v>2201</v>
      </c>
      <c r="B591" t="str">
        <f>VLOOKUP($A591,Szamlaszamok!$A590:F2146,2,FALSE)</f>
      </c>
      <c r="C591" t="str">
        <f>VLOOKUP($A591,Szamlaszamok!$A590:F2146,3,FALSE)</f>
      </c>
      <c r="D591" t="str">
        <f>VLOOKUP($A591,Szamlaszamok!$A590:F2146,4,FALSE)</f>
      </c>
      <c r="E591" t="str">
        <f>DATE(YEAR(D591),MONTH(D591),DAY(D591))</f>
      </c>
      <c r="F591" t="str">
        <f>CONCATENATE(C591,E591)</f>
      </c>
      <c r="G591" t="str">
        <f>TIMEVALUE(D591)</f>
      </c>
      <c r="H591" t="str">
        <f>COUNTIF(Szamlaszamok!A:A,A591)</f>
      </c>
      <c r="I591" t="str">
        <f>SUMIFS(Szamlaszamok!E:E,Szamlaszamok!A:A,Szamlaszamok_nonduplicate!A591)</f>
      </c>
    </row>
    <row r="592" spans="1:9">
      <c r="A592" t="s">
        <v>2206</v>
      </c>
      <c r="B592" t="str">
        <f>VLOOKUP($A592,Szamlaszamok!$A591:F2147,2,FALSE)</f>
      </c>
      <c r="C592" t="str">
        <f>VLOOKUP($A592,Szamlaszamok!$A591:F2147,3,FALSE)</f>
      </c>
      <c r="D592" t="str">
        <f>VLOOKUP($A592,Szamlaszamok!$A591:F2147,4,FALSE)</f>
      </c>
      <c r="E592" t="str">
        <f>DATE(YEAR(D592),MONTH(D592),DAY(D592))</f>
      </c>
      <c r="F592" t="str">
        <f>CONCATENATE(C592,E592)</f>
      </c>
      <c r="G592" t="str">
        <f>TIMEVALUE(D592)</f>
      </c>
      <c r="H592" t="str">
        <f>COUNTIF(Szamlaszamok!A:A,A592)</f>
      </c>
      <c r="I592" t="str">
        <f>SUMIFS(Szamlaszamok!E:E,Szamlaszamok!A:A,Szamlaszamok_nonduplicate!A592)</f>
      </c>
    </row>
    <row r="593" spans="1:9">
      <c r="A593" t="s">
        <v>2211</v>
      </c>
      <c r="B593" t="str">
        <f>VLOOKUP($A593,Szamlaszamok!$A592:F2148,2,FALSE)</f>
      </c>
      <c r="C593" t="str">
        <f>VLOOKUP($A593,Szamlaszamok!$A592:F2148,3,FALSE)</f>
      </c>
      <c r="D593" t="str">
        <f>VLOOKUP($A593,Szamlaszamok!$A592:F2148,4,FALSE)</f>
      </c>
      <c r="E593" t="str">
        <f>DATE(YEAR(D593),MONTH(D593),DAY(D593))</f>
      </c>
      <c r="F593" t="str">
        <f>CONCATENATE(C593,E593)</f>
      </c>
      <c r="G593" t="str">
        <f>TIMEVALUE(D593)</f>
      </c>
      <c r="H593" t="str">
        <f>COUNTIF(Szamlaszamok!A:A,A593)</f>
      </c>
      <c r="I593" t="str">
        <f>SUMIFS(Szamlaszamok!E:E,Szamlaszamok!A:A,Szamlaszamok_nonduplicate!A593)</f>
      </c>
    </row>
    <row r="594" spans="1:9">
      <c r="A594" t="s">
        <v>2214</v>
      </c>
      <c r="B594" t="str">
        <f>VLOOKUP($A594,Szamlaszamok!$A593:F2149,2,FALSE)</f>
      </c>
      <c r="C594" t="str">
        <f>VLOOKUP($A594,Szamlaszamok!$A593:F2149,3,FALSE)</f>
      </c>
      <c r="D594" t="str">
        <f>VLOOKUP($A594,Szamlaszamok!$A593:F2149,4,FALSE)</f>
      </c>
      <c r="E594" t="str">
        <f>DATE(YEAR(D594),MONTH(D594),DAY(D594))</f>
      </c>
      <c r="F594" t="str">
        <f>CONCATENATE(C594,E594)</f>
      </c>
      <c r="G594" t="str">
        <f>TIMEVALUE(D594)</f>
      </c>
      <c r="H594" t="str">
        <f>COUNTIF(Szamlaszamok!A:A,A594)</f>
      </c>
      <c r="I594" t="str">
        <f>SUMIFS(Szamlaszamok!E:E,Szamlaszamok!A:A,Szamlaszamok_nonduplicate!A594)</f>
      </c>
    </row>
    <row r="595" spans="1:9">
      <c r="A595" t="s">
        <v>2216</v>
      </c>
      <c r="B595" t="str">
        <f>VLOOKUP($A595,Szamlaszamok!$A594:F2150,2,FALSE)</f>
      </c>
      <c r="C595" t="str">
        <f>VLOOKUP($A595,Szamlaszamok!$A594:F2150,3,FALSE)</f>
      </c>
      <c r="D595" t="str">
        <f>VLOOKUP($A595,Szamlaszamok!$A594:F2150,4,FALSE)</f>
      </c>
      <c r="E595" t="str">
        <f>DATE(YEAR(D595),MONTH(D595),DAY(D595))</f>
      </c>
      <c r="F595" t="str">
        <f>CONCATENATE(C595,E595)</f>
      </c>
      <c r="G595" t="str">
        <f>TIMEVALUE(D595)</f>
      </c>
      <c r="H595" t="str">
        <f>COUNTIF(Szamlaszamok!A:A,A595)</f>
      </c>
      <c r="I595" t="str">
        <f>SUMIFS(Szamlaszamok!E:E,Szamlaszamok!A:A,Szamlaszamok_nonduplicate!A595)</f>
      </c>
    </row>
    <row r="596" spans="1:9">
      <c r="A596" t="s">
        <v>2218</v>
      </c>
      <c r="B596" t="str">
        <f>VLOOKUP($A596,Szamlaszamok!$A595:F2151,2,FALSE)</f>
      </c>
      <c r="C596" t="str">
        <f>VLOOKUP($A596,Szamlaszamok!$A595:F2151,3,FALSE)</f>
      </c>
      <c r="D596" t="str">
        <f>VLOOKUP($A596,Szamlaszamok!$A595:F2151,4,FALSE)</f>
      </c>
      <c r="E596" t="str">
        <f>DATE(YEAR(D596),MONTH(D596),DAY(D596))</f>
      </c>
      <c r="F596" t="str">
        <f>CONCATENATE(C596,E596)</f>
      </c>
      <c r="G596" t="str">
        <f>TIMEVALUE(D596)</f>
      </c>
      <c r="H596" t="str">
        <f>COUNTIF(Szamlaszamok!A:A,A596)</f>
      </c>
      <c r="I596" t="str">
        <f>SUMIFS(Szamlaszamok!E:E,Szamlaszamok!A:A,Szamlaszamok_nonduplicate!A596)</f>
      </c>
    </row>
    <row r="597" spans="1:9">
      <c r="A597" t="s">
        <v>2220</v>
      </c>
      <c r="B597" t="str">
        <f>VLOOKUP($A597,Szamlaszamok!$A596:F2152,2,FALSE)</f>
      </c>
      <c r="C597" t="str">
        <f>VLOOKUP($A597,Szamlaszamok!$A596:F2152,3,FALSE)</f>
      </c>
      <c r="D597" t="str">
        <f>VLOOKUP($A597,Szamlaszamok!$A596:F2152,4,FALSE)</f>
      </c>
      <c r="E597" t="str">
        <f>DATE(YEAR(D597),MONTH(D597),DAY(D597))</f>
      </c>
      <c r="F597" t="str">
        <f>CONCATENATE(C597,E597)</f>
      </c>
      <c r="G597" t="str">
        <f>TIMEVALUE(D597)</f>
      </c>
      <c r="H597" t="str">
        <f>COUNTIF(Szamlaszamok!A:A,A597)</f>
      </c>
      <c r="I597" t="str">
        <f>SUMIFS(Szamlaszamok!E:E,Szamlaszamok!A:A,Szamlaszamok_nonduplicate!A597)</f>
      </c>
    </row>
    <row r="598" spans="1:9">
      <c r="A598" t="s">
        <v>2222</v>
      </c>
      <c r="B598" t="str">
        <f>VLOOKUP($A598,Szamlaszamok!$A597:F2153,2,FALSE)</f>
      </c>
      <c r="C598" t="str">
        <f>VLOOKUP($A598,Szamlaszamok!$A597:F2153,3,FALSE)</f>
      </c>
      <c r="D598" t="str">
        <f>VLOOKUP($A598,Szamlaszamok!$A597:F2153,4,FALSE)</f>
      </c>
      <c r="E598" t="str">
        <f>DATE(YEAR(D598),MONTH(D598),DAY(D598))</f>
      </c>
      <c r="F598" t="str">
        <f>CONCATENATE(C598,E598)</f>
      </c>
      <c r="G598" t="str">
        <f>TIMEVALUE(D598)</f>
      </c>
      <c r="H598" t="str">
        <f>COUNTIF(Szamlaszamok!A:A,A598)</f>
      </c>
      <c r="I598" t="str">
        <f>SUMIFS(Szamlaszamok!E:E,Szamlaszamok!A:A,Szamlaszamok_nonduplicate!A598)</f>
      </c>
    </row>
    <row r="599" spans="1:9">
      <c r="A599" t="s">
        <v>2226</v>
      </c>
      <c r="B599" t="str">
        <f>VLOOKUP($A599,Szamlaszamok!$A598:F2154,2,FALSE)</f>
      </c>
      <c r="C599" t="str">
        <f>VLOOKUP($A599,Szamlaszamok!$A598:F2154,3,FALSE)</f>
      </c>
      <c r="D599" t="str">
        <f>VLOOKUP($A599,Szamlaszamok!$A598:F2154,4,FALSE)</f>
      </c>
      <c r="E599" t="str">
        <f>DATE(YEAR(D599),MONTH(D599),DAY(D599))</f>
      </c>
      <c r="F599" t="str">
        <f>CONCATENATE(C599,E599)</f>
      </c>
      <c r="G599" t="str">
        <f>TIMEVALUE(D599)</f>
      </c>
      <c r="H599" t="str">
        <f>COUNTIF(Szamlaszamok!A:A,A599)</f>
      </c>
      <c r="I599" t="str">
        <f>SUMIFS(Szamlaszamok!E:E,Szamlaszamok!A:A,Szamlaszamok_nonduplicate!A599)</f>
      </c>
    </row>
    <row r="600" spans="1:9">
      <c r="A600" t="s">
        <v>2230</v>
      </c>
      <c r="B600" t="str">
        <f>VLOOKUP($A600,Szamlaszamok!$A599:F2155,2,FALSE)</f>
      </c>
      <c r="C600" t="str">
        <f>VLOOKUP($A600,Szamlaszamok!$A599:F2155,3,FALSE)</f>
      </c>
      <c r="D600" t="str">
        <f>VLOOKUP($A600,Szamlaszamok!$A599:F2155,4,FALSE)</f>
      </c>
      <c r="E600" t="str">
        <f>DATE(YEAR(D600),MONTH(D600),DAY(D600))</f>
      </c>
      <c r="F600" t="str">
        <f>CONCATENATE(C600,E600)</f>
      </c>
      <c r="G600" t="str">
        <f>TIMEVALUE(D600)</f>
      </c>
      <c r="H600" t="str">
        <f>COUNTIF(Szamlaszamok!A:A,A600)</f>
      </c>
      <c r="I600" t="str">
        <f>SUMIFS(Szamlaszamok!E:E,Szamlaszamok!A:A,Szamlaszamok_nonduplicate!A600)</f>
      </c>
    </row>
    <row r="601" spans="1:9">
      <c r="A601" t="s">
        <v>2235</v>
      </c>
      <c r="B601" t="str">
        <f>VLOOKUP($A601,Szamlaszamok!$A600:F2156,2,FALSE)</f>
      </c>
      <c r="C601" t="str">
        <f>VLOOKUP($A601,Szamlaszamok!$A600:F2156,3,FALSE)</f>
      </c>
      <c r="D601" t="str">
        <f>VLOOKUP($A601,Szamlaszamok!$A600:F2156,4,FALSE)</f>
      </c>
      <c r="E601" t="str">
        <f>DATE(YEAR(D601),MONTH(D601),DAY(D601))</f>
      </c>
      <c r="F601" t="str">
        <f>CONCATENATE(C601,E601)</f>
      </c>
      <c r="G601" t="str">
        <f>TIMEVALUE(D601)</f>
      </c>
      <c r="H601" t="str">
        <f>COUNTIF(Szamlaszamok!A:A,A601)</f>
      </c>
      <c r="I601" t="str">
        <f>SUMIFS(Szamlaszamok!E:E,Szamlaszamok!A:A,Szamlaszamok_nonduplicate!A601)</f>
      </c>
    </row>
    <row r="602" spans="1:9">
      <c r="A602" t="s">
        <v>2238</v>
      </c>
      <c r="B602" t="str">
        <f>VLOOKUP($A602,Szamlaszamok!$A601:F2157,2,FALSE)</f>
      </c>
      <c r="C602" t="str">
        <f>VLOOKUP($A602,Szamlaszamok!$A601:F2157,3,FALSE)</f>
      </c>
      <c r="D602" t="str">
        <f>VLOOKUP($A602,Szamlaszamok!$A601:F2157,4,FALSE)</f>
      </c>
      <c r="E602" t="str">
        <f>DATE(YEAR(D602),MONTH(D602),DAY(D602))</f>
      </c>
      <c r="F602" t="str">
        <f>CONCATENATE(C602,E602)</f>
      </c>
      <c r="G602" t="str">
        <f>TIMEVALUE(D602)</f>
      </c>
      <c r="H602" t="str">
        <f>COUNTIF(Szamlaszamok!A:A,A602)</f>
      </c>
      <c r="I602" t="str">
        <f>SUMIFS(Szamlaszamok!E:E,Szamlaszamok!A:A,Szamlaszamok_nonduplicate!A602)</f>
      </c>
    </row>
    <row r="603" spans="1:9">
      <c r="A603" t="s">
        <v>2243</v>
      </c>
      <c r="B603" t="str">
        <f>VLOOKUP($A603,Szamlaszamok!$A602:F2158,2,FALSE)</f>
      </c>
      <c r="C603" t="str">
        <f>VLOOKUP($A603,Szamlaszamok!$A602:F2158,3,FALSE)</f>
      </c>
      <c r="D603" t="str">
        <f>VLOOKUP($A603,Szamlaszamok!$A602:F2158,4,FALSE)</f>
      </c>
      <c r="E603" t="str">
        <f>DATE(YEAR(D603),MONTH(D603),DAY(D603))</f>
      </c>
      <c r="F603" t="str">
        <f>CONCATENATE(C603,E603)</f>
      </c>
      <c r="G603" t="str">
        <f>TIMEVALUE(D603)</f>
      </c>
      <c r="H603" t="str">
        <f>COUNTIF(Szamlaszamok!A:A,A603)</f>
      </c>
      <c r="I603" t="str">
        <f>SUMIFS(Szamlaszamok!E:E,Szamlaszamok!A:A,Szamlaszamok_nonduplicate!A603)</f>
      </c>
    </row>
    <row r="604" spans="1:9">
      <c r="A604" t="s">
        <v>2247</v>
      </c>
      <c r="B604" t="str">
        <f>VLOOKUP($A604,Szamlaszamok!$A603:F2159,2,FALSE)</f>
      </c>
      <c r="C604" t="str">
        <f>VLOOKUP($A604,Szamlaszamok!$A603:F2159,3,FALSE)</f>
      </c>
      <c r="D604" t="str">
        <f>VLOOKUP($A604,Szamlaszamok!$A603:F2159,4,FALSE)</f>
      </c>
      <c r="E604" t="str">
        <f>DATE(YEAR(D604),MONTH(D604),DAY(D604))</f>
      </c>
      <c r="F604" t="str">
        <f>CONCATENATE(C604,E604)</f>
      </c>
      <c r="G604" t="str">
        <f>TIMEVALUE(D604)</f>
      </c>
      <c r="H604" t="str">
        <f>COUNTIF(Szamlaszamok!A:A,A604)</f>
      </c>
      <c r="I604" t="str">
        <f>SUMIFS(Szamlaszamok!E:E,Szamlaszamok!A:A,Szamlaszamok_nonduplicate!A604)</f>
      </c>
    </row>
    <row r="605" spans="1:9">
      <c r="A605" t="s">
        <v>2251</v>
      </c>
      <c r="B605" t="str">
        <f>VLOOKUP($A605,Szamlaszamok!$A604:F2160,2,FALSE)</f>
      </c>
      <c r="C605" t="str">
        <f>VLOOKUP($A605,Szamlaszamok!$A604:F2160,3,FALSE)</f>
      </c>
      <c r="D605" t="str">
        <f>VLOOKUP($A605,Szamlaszamok!$A604:F2160,4,FALSE)</f>
      </c>
      <c r="E605" t="str">
        <f>DATE(YEAR(D605),MONTH(D605),DAY(D605))</f>
      </c>
      <c r="F605" t="str">
        <f>CONCATENATE(C605,E605)</f>
      </c>
      <c r="G605" t="str">
        <f>TIMEVALUE(D605)</f>
      </c>
      <c r="H605" t="str">
        <f>COUNTIF(Szamlaszamok!A:A,A605)</f>
      </c>
      <c r="I605" t="str">
        <f>SUMIFS(Szamlaszamok!E:E,Szamlaszamok!A:A,Szamlaszamok_nonduplicate!A605)</f>
      </c>
    </row>
    <row r="606" spans="1:9">
      <c r="A606" t="s">
        <v>2256</v>
      </c>
      <c r="B606" t="str">
        <f>VLOOKUP($A606,Szamlaszamok!$A605:F2161,2,FALSE)</f>
      </c>
      <c r="C606" t="str">
        <f>VLOOKUP($A606,Szamlaszamok!$A605:F2161,3,FALSE)</f>
      </c>
      <c r="D606" t="str">
        <f>VLOOKUP($A606,Szamlaszamok!$A605:F2161,4,FALSE)</f>
      </c>
      <c r="E606" t="str">
        <f>DATE(YEAR(D606),MONTH(D606),DAY(D606))</f>
      </c>
      <c r="F606" t="str">
        <f>CONCATENATE(C606,E606)</f>
      </c>
      <c r="G606" t="str">
        <f>TIMEVALUE(D606)</f>
      </c>
      <c r="H606" t="str">
        <f>COUNTIF(Szamlaszamok!A:A,A606)</f>
      </c>
      <c r="I606" t="str">
        <f>SUMIFS(Szamlaszamok!E:E,Szamlaszamok!A:A,Szamlaszamok_nonduplicate!A606)</f>
      </c>
    </row>
    <row r="607" spans="1:9">
      <c r="A607" t="s">
        <v>2258</v>
      </c>
      <c r="B607" t="str">
        <f>VLOOKUP($A607,Szamlaszamok!$A606:F2162,2,FALSE)</f>
      </c>
      <c r="C607" t="str">
        <f>VLOOKUP($A607,Szamlaszamok!$A606:F2162,3,FALSE)</f>
      </c>
      <c r="D607" t="str">
        <f>VLOOKUP($A607,Szamlaszamok!$A606:F2162,4,FALSE)</f>
      </c>
      <c r="E607" t="str">
        <f>DATE(YEAR(D607),MONTH(D607),DAY(D607))</f>
      </c>
      <c r="F607" t="str">
        <f>CONCATENATE(C607,E607)</f>
      </c>
      <c r="G607" t="str">
        <f>TIMEVALUE(D607)</f>
      </c>
      <c r="H607" t="str">
        <f>COUNTIF(Szamlaszamok!A:A,A607)</f>
      </c>
      <c r="I607" t="str">
        <f>SUMIFS(Szamlaszamok!E:E,Szamlaszamok!A:A,Szamlaszamok_nonduplicate!A607)</f>
      </c>
    </row>
    <row r="608" spans="1:9">
      <c r="A608" t="s">
        <v>2262</v>
      </c>
      <c r="B608" t="str">
        <f>VLOOKUP($A608,Szamlaszamok!$A607:F2163,2,FALSE)</f>
      </c>
      <c r="C608" t="str">
        <f>VLOOKUP($A608,Szamlaszamok!$A607:F2163,3,FALSE)</f>
      </c>
      <c r="D608" t="str">
        <f>VLOOKUP($A608,Szamlaszamok!$A607:F2163,4,FALSE)</f>
      </c>
      <c r="E608" t="str">
        <f>DATE(YEAR(D608),MONTH(D608),DAY(D608))</f>
      </c>
      <c r="F608" t="str">
        <f>CONCATENATE(C608,E608)</f>
      </c>
      <c r="G608" t="str">
        <f>TIMEVALUE(D608)</f>
      </c>
      <c r="H608" t="str">
        <f>COUNTIF(Szamlaszamok!A:A,A608)</f>
      </c>
      <c r="I608" t="str">
        <f>SUMIFS(Szamlaszamok!E:E,Szamlaszamok!A:A,Szamlaszamok_nonduplicate!A608)</f>
      </c>
    </row>
    <row r="609" spans="1:9">
      <c r="A609" t="s">
        <v>2266</v>
      </c>
      <c r="B609" t="str">
        <f>VLOOKUP($A609,Szamlaszamok!$A608:F2164,2,FALSE)</f>
      </c>
      <c r="C609" t="str">
        <f>VLOOKUP($A609,Szamlaszamok!$A608:F2164,3,FALSE)</f>
      </c>
      <c r="D609" t="str">
        <f>VLOOKUP($A609,Szamlaszamok!$A608:F2164,4,FALSE)</f>
      </c>
      <c r="E609" t="str">
        <f>DATE(YEAR(D609),MONTH(D609),DAY(D609))</f>
      </c>
      <c r="F609" t="str">
        <f>CONCATENATE(C609,E609)</f>
      </c>
      <c r="G609" t="str">
        <f>TIMEVALUE(D609)</f>
      </c>
      <c r="H609" t="str">
        <f>COUNTIF(Szamlaszamok!A:A,A609)</f>
      </c>
      <c r="I609" t="str">
        <f>SUMIFS(Szamlaszamok!E:E,Szamlaszamok!A:A,Szamlaszamok_nonduplicate!A609)</f>
      </c>
    </row>
    <row r="610" spans="1:9">
      <c r="A610" t="s">
        <v>2270</v>
      </c>
      <c r="B610" t="str">
        <f>VLOOKUP($A610,Szamlaszamok!$A609:F2165,2,FALSE)</f>
      </c>
      <c r="C610" t="str">
        <f>VLOOKUP($A610,Szamlaszamok!$A609:F2165,3,FALSE)</f>
      </c>
      <c r="D610" t="str">
        <f>VLOOKUP($A610,Szamlaszamok!$A609:F2165,4,FALSE)</f>
      </c>
      <c r="E610" t="str">
        <f>DATE(YEAR(D610),MONTH(D610),DAY(D610))</f>
      </c>
      <c r="F610" t="str">
        <f>CONCATENATE(C610,E610)</f>
      </c>
      <c r="G610" t="str">
        <f>TIMEVALUE(D610)</f>
      </c>
      <c r="H610" t="str">
        <f>COUNTIF(Szamlaszamok!A:A,A610)</f>
      </c>
      <c r="I610" t="str">
        <f>SUMIFS(Szamlaszamok!E:E,Szamlaszamok!A:A,Szamlaszamok_nonduplicate!A610)</f>
      </c>
    </row>
    <row r="611" spans="1:9">
      <c r="A611" t="s">
        <v>2274</v>
      </c>
      <c r="B611" t="str">
        <f>VLOOKUP($A611,Szamlaszamok!$A610:F2166,2,FALSE)</f>
      </c>
      <c r="C611" t="str">
        <f>VLOOKUP($A611,Szamlaszamok!$A610:F2166,3,FALSE)</f>
      </c>
      <c r="D611" t="str">
        <f>VLOOKUP($A611,Szamlaszamok!$A610:F2166,4,FALSE)</f>
      </c>
      <c r="E611" t="str">
        <f>DATE(YEAR(D611),MONTH(D611),DAY(D611))</f>
      </c>
      <c r="F611" t="str">
        <f>CONCATENATE(C611,E611)</f>
      </c>
      <c r="G611" t="str">
        <f>TIMEVALUE(D611)</f>
      </c>
      <c r="H611" t="str">
        <f>COUNTIF(Szamlaszamok!A:A,A611)</f>
      </c>
      <c r="I611" t="str">
        <f>SUMIFS(Szamlaszamok!E:E,Szamlaszamok!A:A,Szamlaszamok_nonduplicate!A611)</f>
      </c>
    </row>
    <row r="612" spans="1:9">
      <c r="A612" t="s">
        <v>2276</v>
      </c>
      <c r="B612" t="str">
        <f>VLOOKUP($A612,Szamlaszamok!$A611:F2167,2,FALSE)</f>
      </c>
      <c r="C612" t="str">
        <f>VLOOKUP($A612,Szamlaszamok!$A611:F2167,3,FALSE)</f>
      </c>
      <c r="D612" t="str">
        <f>VLOOKUP($A612,Szamlaszamok!$A611:F2167,4,FALSE)</f>
      </c>
      <c r="E612" t="str">
        <f>DATE(YEAR(D612),MONTH(D612),DAY(D612))</f>
      </c>
      <c r="F612" t="str">
        <f>CONCATENATE(C612,E612)</f>
      </c>
      <c r="G612" t="str">
        <f>TIMEVALUE(D612)</f>
      </c>
      <c r="H612" t="str">
        <f>COUNTIF(Szamlaszamok!A:A,A612)</f>
      </c>
      <c r="I612" t="str">
        <f>SUMIFS(Szamlaszamok!E:E,Szamlaszamok!A:A,Szamlaszamok_nonduplicate!A612)</f>
      </c>
    </row>
    <row r="613" spans="1:9">
      <c r="A613" t="s">
        <v>2278</v>
      </c>
      <c r="B613" t="str">
        <f>VLOOKUP($A613,Szamlaszamok!$A612:F2168,2,FALSE)</f>
      </c>
      <c r="C613" t="str">
        <f>VLOOKUP($A613,Szamlaszamok!$A612:F2168,3,FALSE)</f>
      </c>
      <c r="D613" t="str">
        <f>VLOOKUP($A613,Szamlaszamok!$A612:F2168,4,FALSE)</f>
      </c>
      <c r="E613" t="str">
        <f>DATE(YEAR(D613),MONTH(D613),DAY(D613))</f>
      </c>
      <c r="F613" t="str">
        <f>CONCATENATE(C613,E613)</f>
      </c>
      <c r="G613" t="str">
        <f>TIMEVALUE(D613)</f>
      </c>
      <c r="H613" t="str">
        <f>COUNTIF(Szamlaszamok!A:A,A613)</f>
      </c>
      <c r="I613" t="str">
        <f>SUMIFS(Szamlaszamok!E:E,Szamlaszamok!A:A,Szamlaszamok_nonduplicate!A613)</f>
      </c>
    </row>
    <row r="614" spans="1:9">
      <c r="A614" t="s">
        <v>2283</v>
      </c>
      <c r="B614" t="str">
        <f>VLOOKUP($A614,Szamlaszamok!$A613:F2169,2,FALSE)</f>
      </c>
      <c r="C614" t="str">
        <f>VLOOKUP($A614,Szamlaszamok!$A613:F2169,3,FALSE)</f>
      </c>
      <c r="D614" t="str">
        <f>VLOOKUP($A614,Szamlaszamok!$A613:F2169,4,FALSE)</f>
      </c>
      <c r="E614" t="str">
        <f>DATE(YEAR(D614),MONTH(D614),DAY(D614))</f>
      </c>
      <c r="F614" t="str">
        <f>CONCATENATE(C614,E614)</f>
      </c>
      <c r="G614" t="str">
        <f>TIMEVALUE(D614)</f>
      </c>
      <c r="H614" t="str">
        <f>COUNTIF(Szamlaszamok!A:A,A614)</f>
      </c>
      <c r="I614" t="str">
        <f>SUMIFS(Szamlaszamok!E:E,Szamlaszamok!A:A,Szamlaszamok_nonduplicate!A614)</f>
      </c>
    </row>
    <row r="615" spans="1:9">
      <c r="A615" t="s">
        <v>2289</v>
      </c>
      <c r="B615" t="str">
        <f>VLOOKUP($A615,Szamlaszamok!$A614:F2170,2,FALSE)</f>
      </c>
      <c r="C615" t="str">
        <f>VLOOKUP($A615,Szamlaszamok!$A614:F2170,3,FALSE)</f>
      </c>
      <c r="D615" t="str">
        <f>VLOOKUP($A615,Szamlaszamok!$A614:F2170,4,FALSE)</f>
      </c>
      <c r="E615" t="str">
        <f>DATE(YEAR(D615),MONTH(D615),DAY(D615))</f>
      </c>
      <c r="F615" t="str">
        <f>CONCATENATE(C615,E615)</f>
      </c>
      <c r="G615" t="str">
        <f>TIMEVALUE(D615)</f>
      </c>
      <c r="H615" t="str">
        <f>COUNTIF(Szamlaszamok!A:A,A615)</f>
      </c>
      <c r="I615" t="str">
        <f>SUMIFS(Szamlaszamok!E:E,Szamlaszamok!A:A,Szamlaszamok_nonduplicate!A615)</f>
      </c>
    </row>
    <row r="616" spans="1:9">
      <c r="A616" t="s">
        <v>2293</v>
      </c>
      <c r="B616" t="str">
        <f>VLOOKUP($A616,Szamlaszamok!$A615:F2171,2,FALSE)</f>
      </c>
      <c r="C616" t="str">
        <f>VLOOKUP($A616,Szamlaszamok!$A615:F2171,3,FALSE)</f>
      </c>
      <c r="D616" t="str">
        <f>VLOOKUP($A616,Szamlaszamok!$A615:F2171,4,FALSE)</f>
      </c>
      <c r="E616" t="str">
        <f>DATE(YEAR(D616),MONTH(D616),DAY(D616))</f>
      </c>
      <c r="F616" t="str">
        <f>CONCATENATE(C616,E616)</f>
      </c>
      <c r="G616" t="str">
        <f>TIMEVALUE(D616)</f>
      </c>
      <c r="H616" t="str">
        <f>COUNTIF(Szamlaszamok!A:A,A616)</f>
      </c>
      <c r="I616" t="str">
        <f>SUMIFS(Szamlaszamok!E:E,Szamlaszamok!A:A,Szamlaszamok_nonduplicate!A616)</f>
      </c>
    </row>
    <row r="617" spans="1:9">
      <c r="A617" t="s">
        <v>2297</v>
      </c>
      <c r="B617" t="str">
        <f>VLOOKUP($A617,Szamlaszamok!$A616:F2172,2,FALSE)</f>
      </c>
      <c r="C617" t="str">
        <f>VLOOKUP($A617,Szamlaszamok!$A616:F2172,3,FALSE)</f>
      </c>
      <c r="D617" t="str">
        <f>VLOOKUP($A617,Szamlaszamok!$A616:F2172,4,FALSE)</f>
      </c>
      <c r="E617" t="str">
        <f>DATE(YEAR(D617),MONTH(D617),DAY(D617))</f>
      </c>
      <c r="F617" t="str">
        <f>CONCATENATE(C617,E617)</f>
      </c>
      <c r="G617" t="str">
        <f>TIMEVALUE(D617)</f>
      </c>
      <c r="H617" t="str">
        <f>COUNTIF(Szamlaszamok!A:A,A617)</f>
      </c>
      <c r="I617" t="str">
        <f>SUMIFS(Szamlaszamok!E:E,Szamlaszamok!A:A,Szamlaszamok_nonduplicate!A617)</f>
      </c>
    </row>
    <row r="618" spans="1:9">
      <c r="A618" t="s">
        <v>2301</v>
      </c>
      <c r="B618" t="str">
        <f>VLOOKUP($A618,Szamlaszamok!$A617:F2173,2,FALSE)</f>
      </c>
      <c r="C618" t="str">
        <f>VLOOKUP($A618,Szamlaszamok!$A617:F2173,3,FALSE)</f>
      </c>
      <c r="D618" t="str">
        <f>VLOOKUP($A618,Szamlaszamok!$A617:F2173,4,FALSE)</f>
      </c>
      <c r="E618" t="str">
        <f>DATE(YEAR(D618),MONTH(D618),DAY(D618))</f>
      </c>
      <c r="F618" t="str">
        <f>CONCATENATE(C618,E618)</f>
      </c>
      <c r="G618" t="str">
        <f>TIMEVALUE(D618)</f>
      </c>
      <c r="H618" t="str">
        <f>COUNTIF(Szamlaszamok!A:A,A618)</f>
      </c>
      <c r="I618" t="str">
        <f>SUMIFS(Szamlaszamok!E:E,Szamlaszamok!A:A,Szamlaszamok_nonduplicate!A618)</f>
      </c>
    </row>
    <row r="619" spans="1:9">
      <c r="A619" t="s">
        <v>2306</v>
      </c>
      <c r="B619" t="str">
        <f>VLOOKUP($A619,Szamlaszamok!$A618:F2174,2,FALSE)</f>
      </c>
      <c r="C619" t="str">
        <f>VLOOKUP($A619,Szamlaszamok!$A618:F2174,3,FALSE)</f>
      </c>
      <c r="D619" t="str">
        <f>VLOOKUP($A619,Szamlaszamok!$A618:F2174,4,FALSE)</f>
      </c>
      <c r="E619" t="str">
        <f>DATE(YEAR(D619),MONTH(D619),DAY(D619))</f>
      </c>
      <c r="F619" t="str">
        <f>CONCATENATE(C619,E619)</f>
      </c>
      <c r="G619" t="str">
        <f>TIMEVALUE(D619)</f>
      </c>
      <c r="H619" t="str">
        <f>COUNTIF(Szamlaszamok!A:A,A619)</f>
      </c>
      <c r="I619" t="str">
        <f>SUMIFS(Szamlaszamok!E:E,Szamlaszamok!A:A,Szamlaszamok_nonduplicate!A619)</f>
      </c>
    </row>
    <row r="620" spans="1:9">
      <c r="A620" t="s">
        <v>2310</v>
      </c>
      <c r="B620" t="str">
        <f>VLOOKUP($A620,Szamlaszamok!$A619:F2175,2,FALSE)</f>
      </c>
      <c r="C620" t="str">
        <f>VLOOKUP($A620,Szamlaszamok!$A619:F2175,3,FALSE)</f>
      </c>
      <c r="D620" t="str">
        <f>VLOOKUP($A620,Szamlaszamok!$A619:F2175,4,FALSE)</f>
      </c>
      <c r="E620" t="str">
        <f>DATE(YEAR(D620),MONTH(D620),DAY(D620))</f>
      </c>
      <c r="F620" t="str">
        <f>CONCATENATE(C620,E620)</f>
      </c>
      <c r="G620" t="str">
        <f>TIMEVALUE(D620)</f>
      </c>
      <c r="H620" t="str">
        <f>COUNTIF(Szamlaszamok!A:A,A620)</f>
      </c>
      <c r="I620" t="str">
        <f>SUMIFS(Szamlaszamok!E:E,Szamlaszamok!A:A,Szamlaszamok_nonduplicate!A620)</f>
      </c>
    </row>
    <row r="621" spans="1:9">
      <c r="A621" t="s">
        <v>2314</v>
      </c>
      <c r="B621" t="str">
        <f>VLOOKUP($A621,Szamlaszamok!$A620:F2176,2,FALSE)</f>
      </c>
      <c r="C621" t="str">
        <f>VLOOKUP($A621,Szamlaszamok!$A620:F2176,3,FALSE)</f>
      </c>
      <c r="D621" t="str">
        <f>VLOOKUP($A621,Szamlaszamok!$A620:F2176,4,FALSE)</f>
      </c>
      <c r="E621" t="str">
        <f>DATE(YEAR(D621),MONTH(D621),DAY(D621))</f>
      </c>
      <c r="F621" t="str">
        <f>CONCATENATE(C621,E621)</f>
      </c>
      <c r="G621" t="str">
        <f>TIMEVALUE(D621)</f>
      </c>
      <c r="H621" t="str">
        <f>COUNTIF(Szamlaszamok!A:A,A621)</f>
      </c>
      <c r="I621" t="str">
        <f>SUMIFS(Szamlaszamok!E:E,Szamlaszamok!A:A,Szamlaszamok_nonduplicate!A621)</f>
      </c>
    </row>
    <row r="622" spans="1:9">
      <c r="A622" t="s">
        <v>2318</v>
      </c>
      <c r="B622" t="str">
        <f>VLOOKUP($A622,Szamlaszamok!$A621:F2177,2,FALSE)</f>
      </c>
      <c r="C622" t="str">
        <f>VLOOKUP($A622,Szamlaszamok!$A621:F2177,3,FALSE)</f>
      </c>
      <c r="D622" t="str">
        <f>VLOOKUP($A622,Szamlaszamok!$A621:F2177,4,FALSE)</f>
      </c>
      <c r="E622" t="str">
        <f>DATE(YEAR(D622),MONTH(D622),DAY(D622))</f>
      </c>
      <c r="F622" t="str">
        <f>CONCATENATE(C622,E622)</f>
      </c>
      <c r="G622" t="str">
        <f>TIMEVALUE(D622)</f>
      </c>
      <c r="H622" t="str">
        <f>COUNTIF(Szamlaszamok!A:A,A622)</f>
      </c>
      <c r="I622" t="str">
        <f>SUMIFS(Szamlaszamok!E:E,Szamlaszamok!A:A,Szamlaszamok_nonduplicate!A622)</f>
      </c>
    </row>
    <row r="623" spans="1:9">
      <c r="A623" t="s">
        <v>2322</v>
      </c>
      <c r="B623" t="str">
        <f>VLOOKUP($A623,Szamlaszamok!$A622:F2178,2,FALSE)</f>
      </c>
      <c r="C623" t="str">
        <f>VLOOKUP($A623,Szamlaszamok!$A622:F2178,3,FALSE)</f>
      </c>
      <c r="D623" t="str">
        <f>VLOOKUP($A623,Szamlaszamok!$A622:F2178,4,FALSE)</f>
      </c>
      <c r="E623" t="str">
        <f>DATE(YEAR(D623),MONTH(D623),DAY(D623))</f>
      </c>
      <c r="F623" t="str">
        <f>CONCATENATE(C623,E623)</f>
      </c>
      <c r="G623" t="str">
        <f>TIMEVALUE(D623)</f>
      </c>
      <c r="H623" t="str">
        <f>COUNTIF(Szamlaszamok!A:A,A623)</f>
      </c>
      <c r="I623" t="str">
        <f>SUMIFS(Szamlaszamok!E:E,Szamlaszamok!A:A,Szamlaszamok_nonduplicate!A623)</f>
      </c>
    </row>
    <row r="624" spans="1:9">
      <c r="A624" t="s">
        <v>2326</v>
      </c>
      <c r="B624" t="str">
        <f>VLOOKUP($A624,Szamlaszamok!$A623:F2179,2,FALSE)</f>
      </c>
      <c r="C624" t="str">
        <f>VLOOKUP($A624,Szamlaszamok!$A623:F2179,3,FALSE)</f>
      </c>
      <c r="D624" t="str">
        <f>VLOOKUP($A624,Szamlaszamok!$A623:F2179,4,FALSE)</f>
      </c>
      <c r="E624" t="str">
        <f>DATE(YEAR(D624),MONTH(D624),DAY(D624))</f>
      </c>
      <c r="F624" t="str">
        <f>CONCATENATE(C624,E624)</f>
      </c>
      <c r="G624" t="str">
        <f>TIMEVALUE(D624)</f>
      </c>
      <c r="H624" t="str">
        <f>COUNTIF(Szamlaszamok!A:A,A624)</f>
      </c>
      <c r="I624" t="str">
        <f>SUMIFS(Szamlaszamok!E:E,Szamlaszamok!A:A,Szamlaszamok_nonduplicate!A624)</f>
      </c>
    </row>
    <row r="625" spans="1:9">
      <c r="A625" t="s">
        <v>2330</v>
      </c>
      <c r="B625" t="str">
        <f>VLOOKUP($A625,Szamlaszamok!$A624:F2180,2,FALSE)</f>
      </c>
      <c r="C625" t="str">
        <f>VLOOKUP($A625,Szamlaszamok!$A624:F2180,3,FALSE)</f>
      </c>
      <c r="D625" t="str">
        <f>VLOOKUP($A625,Szamlaszamok!$A624:F2180,4,FALSE)</f>
      </c>
      <c r="E625" t="str">
        <f>DATE(YEAR(D625),MONTH(D625),DAY(D625))</f>
      </c>
      <c r="F625" t="str">
        <f>CONCATENATE(C625,E625)</f>
      </c>
      <c r="G625" t="str">
        <f>TIMEVALUE(D625)</f>
      </c>
      <c r="H625" t="str">
        <f>COUNTIF(Szamlaszamok!A:A,A625)</f>
      </c>
      <c r="I625" t="str">
        <f>SUMIFS(Szamlaszamok!E:E,Szamlaszamok!A:A,Szamlaszamok_nonduplicate!A625)</f>
      </c>
    </row>
    <row r="626" spans="1:9">
      <c r="A626" t="s">
        <v>2334</v>
      </c>
      <c r="B626" t="str">
        <f>VLOOKUP($A626,Szamlaszamok!$A625:F2181,2,FALSE)</f>
      </c>
      <c r="C626" t="str">
        <f>VLOOKUP($A626,Szamlaszamok!$A625:F2181,3,FALSE)</f>
      </c>
      <c r="D626" t="str">
        <f>VLOOKUP($A626,Szamlaszamok!$A625:F2181,4,FALSE)</f>
      </c>
      <c r="E626" t="str">
        <f>DATE(YEAR(D626),MONTH(D626),DAY(D626))</f>
      </c>
      <c r="F626" t="str">
        <f>CONCATENATE(C626,E626)</f>
      </c>
      <c r="G626" t="str">
        <f>TIMEVALUE(D626)</f>
      </c>
      <c r="H626" t="str">
        <f>COUNTIF(Szamlaszamok!A:A,A626)</f>
      </c>
      <c r="I626" t="str">
        <f>SUMIFS(Szamlaszamok!E:E,Szamlaszamok!A:A,Szamlaszamok_nonduplicate!A626)</f>
      </c>
    </row>
    <row r="627" spans="1:9">
      <c r="A627" t="s">
        <v>2339</v>
      </c>
      <c r="B627" t="str">
        <f>VLOOKUP($A627,Szamlaszamok!$A626:F2182,2,FALSE)</f>
      </c>
      <c r="C627" t="str">
        <f>VLOOKUP($A627,Szamlaszamok!$A626:F2182,3,FALSE)</f>
      </c>
      <c r="D627" t="str">
        <f>VLOOKUP($A627,Szamlaszamok!$A626:F2182,4,FALSE)</f>
      </c>
      <c r="E627" t="str">
        <f>DATE(YEAR(D627),MONTH(D627),DAY(D627))</f>
      </c>
      <c r="F627" t="str">
        <f>CONCATENATE(C627,E627)</f>
      </c>
      <c r="G627" t="str">
        <f>TIMEVALUE(D627)</f>
      </c>
      <c r="H627" t="str">
        <f>COUNTIF(Szamlaszamok!A:A,A627)</f>
      </c>
      <c r="I627" t="str">
        <f>SUMIFS(Szamlaszamok!E:E,Szamlaszamok!A:A,Szamlaszamok_nonduplicate!A627)</f>
      </c>
    </row>
    <row r="628" spans="1:9">
      <c r="A628" t="s">
        <v>2342</v>
      </c>
      <c r="B628" t="str">
        <f>VLOOKUP($A628,Szamlaszamok!$A627:F2183,2,FALSE)</f>
      </c>
      <c r="C628" t="str">
        <f>VLOOKUP($A628,Szamlaszamok!$A627:F2183,3,FALSE)</f>
      </c>
      <c r="D628" t="str">
        <f>VLOOKUP($A628,Szamlaszamok!$A627:F2183,4,FALSE)</f>
      </c>
      <c r="E628" t="str">
        <f>DATE(YEAR(D628),MONTH(D628),DAY(D628))</f>
      </c>
      <c r="F628" t="str">
        <f>CONCATENATE(C628,E628)</f>
      </c>
      <c r="G628" t="str">
        <f>TIMEVALUE(D628)</f>
      </c>
      <c r="H628" t="str">
        <f>COUNTIF(Szamlaszamok!A:A,A628)</f>
      </c>
      <c r="I628" t="str">
        <f>SUMIFS(Szamlaszamok!E:E,Szamlaszamok!A:A,Szamlaszamok_nonduplicate!A628)</f>
      </c>
    </row>
    <row r="629" spans="1:9">
      <c r="A629" t="s">
        <v>2346</v>
      </c>
      <c r="B629" t="str">
        <f>VLOOKUP($A629,Szamlaszamok!$A628:F2184,2,FALSE)</f>
      </c>
      <c r="C629" t="str">
        <f>VLOOKUP($A629,Szamlaszamok!$A628:F2184,3,FALSE)</f>
      </c>
      <c r="D629" t="str">
        <f>VLOOKUP($A629,Szamlaszamok!$A628:F2184,4,FALSE)</f>
      </c>
      <c r="E629" t="str">
        <f>DATE(YEAR(D629),MONTH(D629),DAY(D629))</f>
      </c>
      <c r="F629" t="str">
        <f>CONCATENATE(C629,E629)</f>
      </c>
      <c r="G629" t="str">
        <f>TIMEVALUE(D629)</f>
      </c>
      <c r="H629" t="str">
        <f>COUNTIF(Szamlaszamok!A:A,A629)</f>
      </c>
      <c r="I629" t="str">
        <f>SUMIFS(Szamlaszamok!E:E,Szamlaszamok!A:A,Szamlaszamok_nonduplicate!A629)</f>
      </c>
    </row>
    <row r="630" spans="1:9">
      <c r="A630" t="s">
        <v>2350</v>
      </c>
      <c r="B630" t="str">
        <f>VLOOKUP($A630,Szamlaszamok!$A629:F2185,2,FALSE)</f>
      </c>
      <c r="C630" t="str">
        <f>VLOOKUP($A630,Szamlaszamok!$A629:F2185,3,FALSE)</f>
      </c>
      <c r="D630" t="str">
        <f>VLOOKUP($A630,Szamlaszamok!$A629:F2185,4,FALSE)</f>
      </c>
      <c r="E630" t="str">
        <f>DATE(YEAR(D630),MONTH(D630),DAY(D630))</f>
      </c>
      <c r="F630" t="str">
        <f>CONCATENATE(C630,E630)</f>
      </c>
      <c r="G630" t="str">
        <f>TIMEVALUE(D630)</f>
      </c>
      <c r="H630" t="str">
        <f>COUNTIF(Szamlaszamok!A:A,A630)</f>
      </c>
      <c r="I630" t="str">
        <f>SUMIFS(Szamlaszamok!E:E,Szamlaszamok!A:A,Szamlaszamok_nonduplicate!A630)</f>
      </c>
    </row>
    <row r="631" spans="1:9">
      <c r="A631" t="s">
        <v>2354</v>
      </c>
      <c r="B631" t="str">
        <f>VLOOKUP($A631,Szamlaszamok!$A630:F2186,2,FALSE)</f>
      </c>
      <c r="C631" t="str">
        <f>VLOOKUP($A631,Szamlaszamok!$A630:F2186,3,FALSE)</f>
      </c>
      <c r="D631" t="str">
        <f>VLOOKUP($A631,Szamlaszamok!$A630:F2186,4,FALSE)</f>
      </c>
      <c r="E631" t="str">
        <f>DATE(YEAR(D631),MONTH(D631),DAY(D631))</f>
      </c>
      <c r="F631" t="str">
        <f>CONCATENATE(C631,E631)</f>
      </c>
      <c r="G631" t="str">
        <f>TIMEVALUE(D631)</f>
      </c>
      <c r="H631" t="str">
        <f>COUNTIF(Szamlaszamok!A:A,A631)</f>
      </c>
      <c r="I631" t="str">
        <f>SUMIFS(Szamlaszamok!E:E,Szamlaszamok!A:A,Szamlaszamok_nonduplicate!A631)</f>
      </c>
    </row>
    <row r="632" spans="1:9">
      <c r="A632" t="s">
        <v>2358</v>
      </c>
      <c r="B632" t="str">
        <f>VLOOKUP($A632,Szamlaszamok!$A631:F2187,2,FALSE)</f>
      </c>
      <c r="C632" t="str">
        <f>VLOOKUP($A632,Szamlaszamok!$A631:F2187,3,FALSE)</f>
      </c>
      <c r="D632" t="str">
        <f>VLOOKUP($A632,Szamlaszamok!$A631:F2187,4,FALSE)</f>
      </c>
      <c r="E632" t="str">
        <f>DATE(YEAR(D632),MONTH(D632),DAY(D632))</f>
      </c>
      <c r="F632" t="str">
        <f>CONCATENATE(C632,E632)</f>
      </c>
      <c r="G632" t="str">
        <f>TIMEVALUE(D632)</f>
      </c>
      <c r="H632" t="str">
        <f>COUNTIF(Szamlaszamok!A:A,A632)</f>
      </c>
      <c r="I632" t="str">
        <f>SUMIFS(Szamlaszamok!E:E,Szamlaszamok!A:A,Szamlaszamok_nonduplicate!A632)</f>
      </c>
    </row>
    <row r="633" spans="1:9">
      <c r="A633" t="s">
        <v>2362</v>
      </c>
      <c r="B633" t="str">
        <f>VLOOKUP($A633,Szamlaszamok!$A632:F2188,2,FALSE)</f>
      </c>
      <c r="C633" t="str">
        <f>VLOOKUP($A633,Szamlaszamok!$A632:F2188,3,FALSE)</f>
      </c>
      <c r="D633" t="str">
        <f>VLOOKUP($A633,Szamlaszamok!$A632:F2188,4,FALSE)</f>
      </c>
      <c r="E633" t="str">
        <f>DATE(YEAR(D633),MONTH(D633),DAY(D633))</f>
      </c>
      <c r="F633" t="str">
        <f>CONCATENATE(C633,E633)</f>
      </c>
      <c r="G633" t="str">
        <f>TIMEVALUE(D633)</f>
      </c>
      <c r="H633" t="str">
        <f>COUNTIF(Szamlaszamok!A:A,A633)</f>
      </c>
      <c r="I633" t="str">
        <f>SUMIFS(Szamlaszamok!E:E,Szamlaszamok!A:A,Szamlaszamok_nonduplicate!A633)</f>
      </c>
    </row>
    <row r="634" spans="1:9">
      <c r="A634" t="s">
        <v>2365</v>
      </c>
      <c r="B634" t="str">
        <f>VLOOKUP($A634,Szamlaszamok!$A633:F2189,2,FALSE)</f>
      </c>
      <c r="C634" t="str">
        <f>VLOOKUP($A634,Szamlaszamok!$A633:F2189,3,FALSE)</f>
      </c>
      <c r="D634" t="str">
        <f>VLOOKUP($A634,Szamlaszamok!$A633:F2189,4,FALSE)</f>
      </c>
      <c r="E634" t="str">
        <f>DATE(YEAR(D634),MONTH(D634),DAY(D634))</f>
      </c>
      <c r="F634" t="str">
        <f>CONCATENATE(C634,E634)</f>
      </c>
      <c r="G634" t="str">
        <f>TIMEVALUE(D634)</f>
      </c>
      <c r="H634" t="str">
        <f>COUNTIF(Szamlaszamok!A:A,A634)</f>
      </c>
      <c r="I634" t="str">
        <f>SUMIFS(Szamlaszamok!E:E,Szamlaszamok!A:A,Szamlaszamok_nonduplicate!A634)</f>
      </c>
    </row>
    <row r="635" spans="1:9">
      <c r="A635" t="s">
        <v>2369</v>
      </c>
      <c r="B635" t="str">
        <f>VLOOKUP($A635,Szamlaszamok!$A634:F2190,2,FALSE)</f>
      </c>
      <c r="C635" t="str">
        <f>VLOOKUP($A635,Szamlaszamok!$A634:F2190,3,FALSE)</f>
      </c>
      <c r="D635" t="str">
        <f>VLOOKUP($A635,Szamlaszamok!$A634:F2190,4,FALSE)</f>
      </c>
      <c r="E635" t="str">
        <f>DATE(YEAR(D635),MONTH(D635),DAY(D635))</f>
      </c>
      <c r="F635" t="str">
        <f>CONCATENATE(C635,E635)</f>
      </c>
      <c r="G635" t="str">
        <f>TIMEVALUE(D635)</f>
      </c>
      <c r="H635" t="str">
        <f>COUNTIF(Szamlaszamok!A:A,A635)</f>
      </c>
      <c r="I635" t="str">
        <f>SUMIFS(Szamlaszamok!E:E,Szamlaszamok!A:A,Szamlaszamok_nonduplicate!A635)</f>
      </c>
    </row>
    <row r="636" spans="1:9">
      <c r="A636" t="s">
        <v>2373</v>
      </c>
      <c r="B636" t="str">
        <f>VLOOKUP($A636,Szamlaszamok!$A635:F2191,2,FALSE)</f>
      </c>
      <c r="C636" t="str">
        <f>VLOOKUP($A636,Szamlaszamok!$A635:F2191,3,FALSE)</f>
      </c>
      <c r="D636" t="str">
        <f>VLOOKUP($A636,Szamlaszamok!$A635:F2191,4,FALSE)</f>
      </c>
      <c r="E636" t="str">
        <f>DATE(YEAR(D636),MONTH(D636),DAY(D636))</f>
      </c>
      <c r="F636" t="str">
        <f>CONCATENATE(C636,E636)</f>
      </c>
      <c r="G636" t="str">
        <f>TIMEVALUE(D636)</f>
      </c>
      <c r="H636" t="str">
        <f>COUNTIF(Szamlaszamok!A:A,A636)</f>
      </c>
      <c r="I636" t="str">
        <f>SUMIFS(Szamlaszamok!E:E,Szamlaszamok!A:A,Szamlaszamok_nonduplicate!A636)</f>
      </c>
    </row>
    <row r="637" spans="1:9">
      <c r="A637" t="s">
        <v>2376</v>
      </c>
      <c r="B637" t="str">
        <f>VLOOKUP($A637,Szamlaszamok!$A636:F2192,2,FALSE)</f>
      </c>
      <c r="C637" t="str">
        <f>VLOOKUP($A637,Szamlaszamok!$A636:F2192,3,FALSE)</f>
      </c>
      <c r="D637" t="str">
        <f>VLOOKUP($A637,Szamlaszamok!$A636:F2192,4,FALSE)</f>
      </c>
      <c r="E637" t="str">
        <f>DATE(YEAR(D637),MONTH(D637),DAY(D637))</f>
      </c>
      <c r="F637" t="str">
        <f>CONCATENATE(C637,E637)</f>
      </c>
      <c r="G637" t="str">
        <f>TIMEVALUE(D637)</f>
      </c>
      <c r="H637" t="str">
        <f>COUNTIF(Szamlaszamok!A:A,A637)</f>
      </c>
      <c r="I637" t="str">
        <f>SUMIFS(Szamlaszamok!E:E,Szamlaszamok!A:A,Szamlaszamok_nonduplicate!A637)</f>
      </c>
    </row>
    <row r="638" spans="1:9">
      <c r="A638" t="s">
        <v>2380</v>
      </c>
      <c r="B638" t="str">
        <f>VLOOKUP($A638,Szamlaszamok!$A637:F2193,2,FALSE)</f>
      </c>
      <c r="C638" t="str">
        <f>VLOOKUP($A638,Szamlaszamok!$A637:F2193,3,FALSE)</f>
      </c>
      <c r="D638" t="str">
        <f>VLOOKUP($A638,Szamlaszamok!$A637:F2193,4,FALSE)</f>
      </c>
      <c r="E638" t="str">
        <f>DATE(YEAR(D638),MONTH(D638),DAY(D638))</f>
      </c>
      <c r="F638" t="str">
        <f>CONCATENATE(C638,E638)</f>
      </c>
      <c r="G638" t="str">
        <f>TIMEVALUE(D638)</f>
      </c>
      <c r="H638" t="str">
        <f>COUNTIF(Szamlaszamok!A:A,A638)</f>
      </c>
      <c r="I638" t="str">
        <f>SUMIFS(Szamlaszamok!E:E,Szamlaszamok!A:A,Szamlaszamok_nonduplicate!A638)</f>
      </c>
    </row>
    <row r="639" spans="1:9">
      <c r="A639" t="s">
        <v>2384</v>
      </c>
      <c r="B639" t="str">
        <f>VLOOKUP($A639,Szamlaszamok!$A638:F2194,2,FALSE)</f>
      </c>
      <c r="C639" t="str">
        <f>VLOOKUP($A639,Szamlaszamok!$A638:F2194,3,FALSE)</f>
      </c>
      <c r="D639" t="str">
        <f>VLOOKUP($A639,Szamlaszamok!$A638:F2194,4,FALSE)</f>
      </c>
      <c r="E639" t="str">
        <f>DATE(YEAR(D639),MONTH(D639),DAY(D639))</f>
      </c>
      <c r="F639" t="str">
        <f>CONCATENATE(C639,E639)</f>
      </c>
      <c r="G639" t="str">
        <f>TIMEVALUE(D639)</f>
      </c>
      <c r="H639" t="str">
        <f>COUNTIF(Szamlaszamok!A:A,A639)</f>
      </c>
      <c r="I639" t="str">
        <f>SUMIFS(Szamlaszamok!E:E,Szamlaszamok!A:A,Szamlaszamok_nonduplicate!A639)</f>
      </c>
    </row>
    <row r="640" spans="1:9">
      <c r="A640" t="s">
        <v>2388</v>
      </c>
      <c r="B640" t="str">
        <f>VLOOKUP($A640,Szamlaszamok!$A639:F2195,2,FALSE)</f>
      </c>
      <c r="C640" t="str">
        <f>VLOOKUP($A640,Szamlaszamok!$A639:F2195,3,FALSE)</f>
      </c>
      <c r="D640" t="str">
        <f>VLOOKUP($A640,Szamlaszamok!$A639:F2195,4,FALSE)</f>
      </c>
      <c r="E640" t="str">
        <f>DATE(YEAR(D640),MONTH(D640),DAY(D640))</f>
      </c>
      <c r="F640" t="str">
        <f>CONCATENATE(C640,E640)</f>
      </c>
      <c r="G640" t="str">
        <f>TIMEVALUE(D640)</f>
      </c>
      <c r="H640" t="str">
        <f>COUNTIF(Szamlaszamok!A:A,A640)</f>
      </c>
      <c r="I640" t="str">
        <f>SUMIFS(Szamlaszamok!E:E,Szamlaszamok!A:A,Szamlaszamok_nonduplicate!A640)</f>
      </c>
    </row>
    <row r="641" spans="1:9">
      <c r="A641" t="s">
        <v>2393</v>
      </c>
      <c r="B641" t="str">
        <f>VLOOKUP($A641,Szamlaszamok!$A640:F2196,2,FALSE)</f>
      </c>
      <c r="C641" t="str">
        <f>VLOOKUP($A641,Szamlaszamok!$A640:F2196,3,FALSE)</f>
      </c>
      <c r="D641" t="str">
        <f>VLOOKUP($A641,Szamlaszamok!$A640:F2196,4,FALSE)</f>
      </c>
      <c r="E641" t="str">
        <f>DATE(YEAR(D641),MONTH(D641),DAY(D641))</f>
      </c>
      <c r="F641" t="str">
        <f>CONCATENATE(C641,E641)</f>
      </c>
      <c r="G641" t="str">
        <f>TIMEVALUE(D641)</f>
      </c>
      <c r="H641" t="str">
        <f>COUNTIF(Szamlaszamok!A:A,A641)</f>
      </c>
      <c r="I641" t="str">
        <f>SUMIFS(Szamlaszamok!E:E,Szamlaszamok!A:A,Szamlaszamok_nonduplicate!A641)</f>
      </c>
    </row>
    <row r="642" spans="1:9">
      <c r="A642" t="s">
        <v>2398</v>
      </c>
      <c r="B642" t="str">
        <f>VLOOKUP($A642,Szamlaszamok!$A641:F2197,2,FALSE)</f>
      </c>
      <c r="C642" t="str">
        <f>VLOOKUP($A642,Szamlaszamok!$A641:F2197,3,FALSE)</f>
      </c>
      <c r="D642" t="str">
        <f>VLOOKUP($A642,Szamlaszamok!$A641:F2197,4,FALSE)</f>
      </c>
      <c r="E642" t="str">
        <f>DATE(YEAR(D642),MONTH(D642),DAY(D642))</f>
      </c>
      <c r="F642" t="str">
        <f>CONCATENATE(C642,E642)</f>
      </c>
      <c r="G642" t="str">
        <f>TIMEVALUE(D642)</f>
      </c>
      <c r="H642" t="str">
        <f>COUNTIF(Szamlaszamok!A:A,A642)</f>
      </c>
      <c r="I642" t="str">
        <f>SUMIFS(Szamlaszamok!E:E,Szamlaszamok!A:A,Szamlaszamok_nonduplicate!A642)</f>
      </c>
    </row>
    <row r="643" spans="1:9">
      <c r="A643" t="s">
        <v>2404</v>
      </c>
      <c r="B643" t="str">
        <f>VLOOKUP($A643,Szamlaszamok!$A642:F2198,2,FALSE)</f>
      </c>
      <c r="C643" t="str">
        <f>VLOOKUP($A643,Szamlaszamok!$A642:F2198,3,FALSE)</f>
      </c>
      <c r="D643" t="str">
        <f>VLOOKUP($A643,Szamlaszamok!$A642:F2198,4,FALSE)</f>
      </c>
      <c r="E643" t="str">
        <f>DATE(YEAR(D643),MONTH(D643),DAY(D643))</f>
      </c>
      <c r="F643" t="str">
        <f>CONCATENATE(C643,E643)</f>
      </c>
      <c r="G643" t="str">
        <f>TIMEVALUE(D643)</f>
      </c>
      <c r="H643" t="str">
        <f>COUNTIF(Szamlaszamok!A:A,A643)</f>
      </c>
      <c r="I643" t="str">
        <f>SUMIFS(Szamlaszamok!E:E,Szamlaszamok!A:A,Szamlaszamok_nonduplicate!A643)</f>
      </c>
    </row>
    <row r="644" spans="1:9">
      <c r="A644" t="s">
        <v>2408</v>
      </c>
      <c r="B644" t="str">
        <f>VLOOKUP($A644,Szamlaszamok!$A643:F2199,2,FALSE)</f>
      </c>
      <c r="C644" t="str">
        <f>VLOOKUP($A644,Szamlaszamok!$A643:F2199,3,FALSE)</f>
      </c>
      <c r="D644" t="str">
        <f>VLOOKUP($A644,Szamlaszamok!$A643:F2199,4,FALSE)</f>
      </c>
      <c r="E644" t="str">
        <f>DATE(YEAR(D644),MONTH(D644),DAY(D644))</f>
      </c>
      <c r="F644" t="str">
        <f>CONCATENATE(C644,E644)</f>
      </c>
      <c r="G644" t="str">
        <f>TIMEVALUE(D644)</f>
      </c>
      <c r="H644" t="str">
        <f>COUNTIF(Szamlaszamok!A:A,A644)</f>
      </c>
      <c r="I644" t="str">
        <f>SUMIFS(Szamlaszamok!E:E,Szamlaszamok!A:A,Szamlaszamok_nonduplicate!A644)</f>
      </c>
    </row>
    <row r="645" spans="1:9">
      <c r="A645" t="s">
        <v>2412</v>
      </c>
      <c r="B645" t="str">
        <f>VLOOKUP($A645,Szamlaszamok!$A644:F2200,2,FALSE)</f>
      </c>
      <c r="C645" t="str">
        <f>VLOOKUP($A645,Szamlaszamok!$A644:F2200,3,FALSE)</f>
      </c>
      <c r="D645" t="str">
        <f>VLOOKUP($A645,Szamlaszamok!$A644:F2200,4,FALSE)</f>
      </c>
      <c r="E645" t="str">
        <f>DATE(YEAR(D645),MONTH(D645),DAY(D645))</f>
      </c>
      <c r="F645" t="str">
        <f>CONCATENATE(C645,E645)</f>
      </c>
      <c r="G645" t="str">
        <f>TIMEVALUE(D645)</f>
      </c>
      <c r="H645" t="str">
        <f>COUNTIF(Szamlaszamok!A:A,A645)</f>
      </c>
      <c r="I645" t="str">
        <f>SUMIFS(Szamlaszamok!E:E,Szamlaszamok!A:A,Szamlaszamok_nonduplicate!A645)</f>
      </c>
    </row>
    <row r="646" spans="1:9">
      <c r="A646" t="s">
        <v>2415</v>
      </c>
      <c r="B646" t="str">
        <f>VLOOKUP($A646,Szamlaszamok!$A645:F2201,2,FALSE)</f>
      </c>
      <c r="C646" t="str">
        <f>VLOOKUP($A646,Szamlaszamok!$A645:F2201,3,FALSE)</f>
      </c>
      <c r="D646" t="str">
        <f>VLOOKUP($A646,Szamlaszamok!$A645:F2201,4,FALSE)</f>
      </c>
      <c r="E646" t="str">
        <f>DATE(YEAR(D646),MONTH(D646),DAY(D646))</f>
      </c>
      <c r="F646" t="str">
        <f>CONCATENATE(C646,E646)</f>
      </c>
      <c r="G646" t="str">
        <f>TIMEVALUE(D646)</f>
      </c>
      <c r="H646" t="str">
        <f>COUNTIF(Szamlaszamok!A:A,A646)</f>
      </c>
      <c r="I646" t="str">
        <f>SUMIFS(Szamlaszamok!E:E,Szamlaszamok!A:A,Szamlaszamok_nonduplicate!A646)</f>
      </c>
    </row>
    <row r="647" spans="1:9">
      <c r="A647" t="s">
        <v>2419</v>
      </c>
      <c r="B647" t="str">
        <f>VLOOKUP($A647,Szamlaszamok!$A646:F2202,2,FALSE)</f>
      </c>
      <c r="C647" t="str">
        <f>VLOOKUP($A647,Szamlaszamok!$A646:F2202,3,FALSE)</f>
      </c>
      <c r="D647" t="str">
        <f>VLOOKUP($A647,Szamlaszamok!$A646:F2202,4,FALSE)</f>
      </c>
      <c r="E647" t="str">
        <f>DATE(YEAR(D647),MONTH(D647),DAY(D647))</f>
      </c>
      <c r="F647" t="str">
        <f>CONCATENATE(C647,E647)</f>
      </c>
      <c r="G647" t="str">
        <f>TIMEVALUE(D647)</f>
      </c>
      <c r="H647" t="str">
        <f>COUNTIF(Szamlaszamok!A:A,A647)</f>
      </c>
      <c r="I647" t="str">
        <f>SUMIFS(Szamlaszamok!E:E,Szamlaszamok!A:A,Szamlaszamok_nonduplicate!A647)</f>
      </c>
    </row>
    <row r="648" spans="1:9">
      <c r="A648" t="s">
        <v>2423</v>
      </c>
      <c r="B648" t="str">
        <f>VLOOKUP($A648,Szamlaszamok!$A647:F2203,2,FALSE)</f>
      </c>
      <c r="C648" t="str">
        <f>VLOOKUP($A648,Szamlaszamok!$A647:F2203,3,FALSE)</f>
      </c>
      <c r="D648" t="str">
        <f>VLOOKUP($A648,Szamlaszamok!$A647:F2203,4,FALSE)</f>
      </c>
      <c r="E648" t="str">
        <f>DATE(YEAR(D648),MONTH(D648),DAY(D648))</f>
      </c>
      <c r="F648" t="str">
        <f>CONCATENATE(C648,E648)</f>
      </c>
      <c r="G648" t="str">
        <f>TIMEVALUE(D648)</f>
      </c>
      <c r="H648" t="str">
        <f>COUNTIF(Szamlaszamok!A:A,A648)</f>
      </c>
      <c r="I648" t="str">
        <f>SUMIFS(Szamlaszamok!E:E,Szamlaszamok!A:A,Szamlaszamok_nonduplicate!A648)</f>
      </c>
    </row>
    <row r="649" spans="1:9">
      <c r="A649" t="s">
        <v>2427</v>
      </c>
      <c r="B649" t="str">
        <f>VLOOKUP($A649,Szamlaszamok!$A648:F2204,2,FALSE)</f>
      </c>
      <c r="C649" t="str">
        <f>VLOOKUP($A649,Szamlaszamok!$A648:F2204,3,FALSE)</f>
      </c>
      <c r="D649" t="str">
        <f>VLOOKUP($A649,Szamlaszamok!$A648:F2204,4,FALSE)</f>
      </c>
      <c r="E649" t="str">
        <f>DATE(YEAR(D649),MONTH(D649),DAY(D649))</f>
      </c>
      <c r="F649" t="str">
        <f>CONCATENATE(C649,E649)</f>
      </c>
      <c r="G649" t="str">
        <f>TIMEVALUE(D649)</f>
      </c>
      <c r="H649" t="str">
        <f>COUNTIF(Szamlaszamok!A:A,A649)</f>
      </c>
      <c r="I649" t="str">
        <f>SUMIFS(Szamlaszamok!E:E,Szamlaszamok!A:A,Szamlaszamok_nonduplicate!A649)</f>
      </c>
    </row>
    <row r="650" spans="1:9">
      <c r="A650" t="s">
        <v>2431</v>
      </c>
      <c r="B650" t="str">
        <f>VLOOKUP($A650,Szamlaszamok!$A649:F2205,2,FALSE)</f>
      </c>
      <c r="C650" t="str">
        <f>VLOOKUP($A650,Szamlaszamok!$A649:F2205,3,FALSE)</f>
      </c>
      <c r="D650" t="str">
        <f>VLOOKUP($A650,Szamlaszamok!$A649:F2205,4,FALSE)</f>
      </c>
      <c r="E650" t="str">
        <f>DATE(YEAR(D650),MONTH(D650),DAY(D650))</f>
      </c>
      <c r="F650" t="str">
        <f>CONCATENATE(C650,E650)</f>
      </c>
      <c r="G650" t="str">
        <f>TIMEVALUE(D650)</f>
      </c>
      <c r="H650" t="str">
        <f>COUNTIF(Szamlaszamok!A:A,A650)</f>
      </c>
      <c r="I650" t="str">
        <f>SUMIFS(Szamlaszamok!E:E,Szamlaszamok!A:A,Szamlaszamok_nonduplicate!A650)</f>
      </c>
    </row>
    <row r="651" spans="1:9">
      <c r="A651" t="s">
        <v>2436</v>
      </c>
      <c r="B651" t="str">
        <f>VLOOKUP($A651,Szamlaszamok!$A650:F2206,2,FALSE)</f>
      </c>
      <c r="C651" t="str">
        <f>VLOOKUP($A651,Szamlaszamok!$A650:F2206,3,FALSE)</f>
      </c>
      <c r="D651" t="str">
        <f>VLOOKUP($A651,Szamlaszamok!$A650:F2206,4,FALSE)</f>
      </c>
      <c r="E651" t="str">
        <f>DATE(YEAR(D651),MONTH(D651),DAY(D651))</f>
      </c>
      <c r="F651" t="str">
        <f>CONCATENATE(C651,E651)</f>
      </c>
      <c r="G651" t="str">
        <f>TIMEVALUE(D651)</f>
      </c>
      <c r="H651" t="str">
        <f>COUNTIF(Szamlaszamok!A:A,A651)</f>
      </c>
      <c r="I651" t="str">
        <f>SUMIFS(Szamlaszamok!E:E,Szamlaszamok!A:A,Szamlaszamok_nonduplicate!A651)</f>
      </c>
    </row>
    <row r="652" spans="1:9">
      <c r="A652" t="s">
        <v>2442</v>
      </c>
      <c r="B652" t="str">
        <f>VLOOKUP($A652,Szamlaszamok!$A651:F2207,2,FALSE)</f>
      </c>
      <c r="C652" t="str">
        <f>VLOOKUP($A652,Szamlaszamok!$A651:F2207,3,FALSE)</f>
      </c>
      <c r="D652" t="str">
        <f>VLOOKUP($A652,Szamlaszamok!$A651:F2207,4,FALSE)</f>
      </c>
      <c r="E652" t="str">
        <f>DATE(YEAR(D652),MONTH(D652),DAY(D652))</f>
      </c>
      <c r="F652" t="str">
        <f>CONCATENATE(C652,E652)</f>
      </c>
      <c r="G652" t="str">
        <f>TIMEVALUE(D652)</f>
      </c>
      <c r="H652" t="str">
        <f>COUNTIF(Szamlaszamok!A:A,A652)</f>
      </c>
      <c r="I652" t="str">
        <f>SUMIFS(Szamlaszamok!E:E,Szamlaszamok!A:A,Szamlaszamok_nonduplicate!A652)</f>
      </c>
    </row>
    <row r="653" spans="1:9">
      <c r="A653" t="s">
        <v>2447</v>
      </c>
      <c r="B653" t="str">
        <f>VLOOKUP($A653,Szamlaszamok!$A652:F2208,2,FALSE)</f>
      </c>
      <c r="C653" t="str">
        <f>VLOOKUP($A653,Szamlaszamok!$A652:F2208,3,FALSE)</f>
      </c>
      <c r="D653" t="str">
        <f>VLOOKUP($A653,Szamlaszamok!$A652:F2208,4,FALSE)</f>
      </c>
      <c r="E653" t="str">
        <f>DATE(YEAR(D653),MONTH(D653),DAY(D653))</f>
      </c>
      <c r="F653" t="str">
        <f>CONCATENATE(C653,E653)</f>
      </c>
      <c r="G653" t="str">
        <f>TIMEVALUE(D653)</f>
      </c>
      <c r="H653" t="str">
        <f>COUNTIF(Szamlaszamok!A:A,A653)</f>
      </c>
      <c r="I653" t="str">
        <f>SUMIFS(Szamlaszamok!E:E,Szamlaszamok!A:A,Szamlaszamok_nonduplicate!A653)</f>
      </c>
    </row>
    <row r="654" spans="1:9">
      <c r="A654" t="s">
        <v>2451</v>
      </c>
      <c r="B654" t="str">
        <f>VLOOKUP($A654,Szamlaszamok!$A653:F2209,2,FALSE)</f>
      </c>
      <c r="C654" t="str">
        <f>VLOOKUP($A654,Szamlaszamok!$A653:F2209,3,FALSE)</f>
      </c>
      <c r="D654" t="str">
        <f>VLOOKUP($A654,Szamlaszamok!$A653:F2209,4,FALSE)</f>
      </c>
      <c r="E654" t="str">
        <f>DATE(YEAR(D654),MONTH(D654),DAY(D654))</f>
      </c>
      <c r="F654" t="str">
        <f>CONCATENATE(C654,E654)</f>
      </c>
      <c r="G654" t="str">
        <f>TIMEVALUE(D654)</f>
      </c>
      <c r="H654" t="str">
        <f>COUNTIF(Szamlaszamok!A:A,A654)</f>
      </c>
      <c r="I654" t="str">
        <f>SUMIFS(Szamlaszamok!E:E,Szamlaszamok!A:A,Szamlaszamok_nonduplicate!A654)</f>
      </c>
    </row>
    <row r="655" spans="1:9">
      <c r="A655" t="s">
        <v>2455</v>
      </c>
      <c r="B655" t="str">
        <f>VLOOKUP($A655,Szamlaszamok!$A654:F2210,2,FALSE)</f>
      </c>
      <c r="C655" t="str">
        <f>VLOOKUP($A655,Szamlaszamok!$A654:F2210,3,FALSE)</f>
      </c>
      <c r="D655" t="str">
        <f>VLOOKUP($A655,Szamlaszamok!$A654:F2210,4,FALSE)</f>
      </c>
      <c r="E655" t="str">
        <f>DATE(YEAR(D655),MONTH(D655),DAY(D655))</f>
      </c>
      <c r="F655" t="str">
        <f>CONCATENATE(C655,E655)</f>
      </c>
      <c r="G655" t="str">
        <f>TIMEVALUE(D655)</f>
      </c>
      <c r="H655" t="str">
        <f>COUNTIF(Szamlaszamok!A:A,A655)</f>
      </c>
      <c r="I655" t="str">
        <f>SUMIFS(Szamlaszamok!E:E,Szamlaszamok!A:A,Szamlaszamok_nonduplicate!A655)</f>
      </c>
    </row>
    <row r="656" spans="1:9">
      <c r="A656" t="s">
        <v>2459</v>
      </c>
      <c r="B656" t="str">
        <f>VLOOKUP($A656,Szamlaszamok!$A655:F2211,2,FALSE)</f>
      </c>
      <c r="C656" t="str">
        <f>VLOOKUP($A656,Szamlaszamok!$A655:F2211,3,FALSE)</f>
      </c>
      <c r="D656" t="str">
        <f>VLOOKUP($A656,Szamlaszamok!$A655:F2211,4,FALSE)</f>
      </c>
      <c r="E656" t="str">
        <f>DATE(YEAR(D656),MONTH(D656),DAY(D656))</f>
      </c>
      <c r="F656" t="str">
        <f>CONCATENATE(C656,E656)</f>
      </c>
      <c r="G656" t="str">
        <f>TIMEVALUE(D656)</f>
      </c>
      <c r="H656" t="str">
        <f>COUNTIF(Szamlaszamok!A:A,A656)</f>
      </c>
      <c r="I656" t="str">
        <f>SUMIFS(Szamlaszamok!E:E,Szamlaszamok!A:A,Szamlaszamok_nonduplicate!A656)</f>
      </c>
    </row>
    <row r="657" spans="1:9">
      <c r="A657" t="s">
        <v>2463</v>
      </c>
      <c r="B657" t="str">
        <f>VLOOKUP($A657,Szamlaszamok!$A656:F2212,2,FALSE)</f>
      </c>
      <c r="C657" t="str">
        <f>VLOOKUP($A657,Szamlaszamok!$A656:F2212,3,FALSE)</f>
      </c>
      <c r="D657" t="str">
        <f>VLOOKUP($A657,Szamlaszamok!$A656:F2212,4,FALSE)</f>
      </c>
      <c r="E657" t="str">
        <f>DATE(YEAR(D657),MONTH(D657),DAY(D657))</f>
      </c>
      <c r="F657" t="str">
        <f>CONCATENATE(C657,E657)</f>
      </c>
      <c r="G657" t="str">
        <f>TIMEVALUE(D657)</f>
      </c>
      <c r="H657" t="str">
        <f>COUNTIF(Szamlaszamok!A:A,A657)</f>
      </c>
      <c r="I657" t="str">
        <f>SUMIFS(Szamlaszamok!E:E,Szamlaszamok!A:A,Szamlaszamok_nonduplicate!A657)</f>
      </c>
    </row>
    <row r="658" spans="1:9">
      <c r="A658" t="s">
        <v>2467</v>
      </c>
      <c r="B658" t="str">
        <f>VLOOKUP($A658,Szamlaszamok!$A657:F2213,2,FALSE)</f>
      </c>
      <c r="C658" t="str">
        <f>VLOOKUP($A658,Szamlaszamok!$A657:F2213,3,FALSE)</f>
      </c>
      <c r="D658" t="str">
        <f>VLOOKUP($A658,Szamlaszamok!$A657:F2213,4,FALSE)</f>
      </c>
      <c r="E658" t="str">
        <f>DATE(YEAR(D658),MONTH(D658),DAY(D658))</f>
      </c>
      <c r="F658" t="str">
        <f>CONCATENATE(C658,E658)</f>
      </c>
      <c r="G658" t="str">
        <f>TIMEVALUE(D658)</f>
      </c>
      <c r="H658" t="str">
        <f>COUNTIF(Szamlaszamok!A:A,A658)</f>
      </c>
      <c r="I658" t="str">
        <f>SUMIFS(Szamlaszamok!E:E,Szamlaszamok!A:A,Szamlaszamok_nonduplicate!A658)</f>
      </c>
    </row>
    <row r="659" spans="1:9">
      <c r="A659" t="s">
        <v>2471</v>
      </c>
      <c r="B659" t="str">
        <f>VLOOKUP($A659,Szamlaszamok!$A658:F2214,2,FALSE)</f>
      </c>
      <c r="C659" t="str">
        <f>VLOOKUP($A659,Szamlaszamok!$A658:F2214,3,FALSE)</f>
      </c>
      <c r="D659" t="str">
        <f>VLOOKUP($A659,Szamlaszamok!$A658:F2214,4,FALSE)</f>
      </c>
      <c r="E659" t="str">
        <f>DATE(YEAR(D659),MONTH(D659),DAY(D659))</f>
      </c>
      <c r="F659" t="str">
        <f>CONCATENATE(C659,E659)</f>
      </c>
      <c r="G659" t="str">
        <f>TIMEVALUE(D659)</f>
      </c>
      <c r="H659" t="str">
        <f>COUNTIF(Szamlaszamok!A:A,A659)</f>
      </c>
      <c r="I659" t="str">
        <f>SUMIFS(Szamlaszamok!E:E,Szamlaszamok!A:A,Szamlaszamok_nonduplicate!A659)</f>
      </c>
    </row>
    <row r="660" spans="1:9">
      <c r="A660" t="s">
        <v>2475</v>
      </c>
      <c r="B660" t="str">
        <f>VLOOKUP($A660,Szamlaszamok!$A659:F2215,2,FALSE)</f>
      </c>
      <c r="C660" t="str">
        <f>VLOOKUP($A660,Szamlaszamok!$A659:F2215,3,FALSE)</f>
      </c>
      <c r="D660" t="str">
        <f>VLOOKUP($A660,Szamlaszamok!$A659:F2215,4,FALSE)</f>
      </c>
      <c r="E660" t="str">
        <f>DATE(YEAR(D660),MONTH(D660),DAY(D660))</f>
      </c>
      <c r="F660" t="str">
        <f>CONCATENATE(C660,E660)</f>
      </c>
      <c r="G660" t="str">
        <f>TIMEVALUE(D660)</f>
      </c>
      <c r="H660" t="str">
        <f>COUNTIF(Szamlaszamok!A:A,A660)</f>
      </c>
      <c r="I660" t="str">
        <f>SUMIFS(Szamlaszamok!E:E,Szamlaszamok!A:A,Szamlaszamok_nonduplicate!A660)</f>
      </c>
    </row>
    <row r="661" spans="1:9">
      <c r="A661" t="s">
        <v>2479</v>
      </c>
      <c r="B661" t="str">
        <f>VLOOKUP($A661,Szamlaszamok!$A660:F2216,2,FALSE)</f>
      </c>
      <c r="C661" t="str">
        <f>VLOOKUP($A661,Szamlaszamok!$A660:F2216,3,FALSE)</f>
      </c>
      <c r="D661" t="str">
        <f>VLOOKUP($A661,Szamlaszamok!$A660:F2216,4,FALSE)</f>
      </c>
      <c r="E661" t="str">
        <f>DATE(YEAR(D661),MONTH(D661),DAY(D661))</f>
      </c>
      <c r="F661" t="str">
        <f>CONCATENATE(C661,E661)</f>
      </c>
      <c r="G661" t="str">
        <f>TIMEVALUE(D661)</f>
      </c>
      <c r="H661" t="str">
        <f>COUNTIF(Szamlaszamok!A:A,A661)</f>
      </c>
      <c r="I661" t="str">
        <f>SUMIFS(Szamlaszamok!E:E,Szamlaszamok!A:A,Szamlaszamok_nonduplicate!A661)</f>
      </c>
    </row>
    <row r="662" spans="1:9">
      <c r="A662" t="s">
        <v>2482</v>
      </c>
      <c r="B662" t="str">
        <f>VLOOKUP($A662,Szamlaszamok!$A661:F2217,2,FALSE)</f>
      </c>
      <c r="C662" t="str">
        <f>VLOOKUP($A662,Szamlaszamok!$A661:F2217,3,FALSE)</f>
      </c>
      <c r="D662" t="str">
        <f>VLOOKUP($A662,Szamlaszamok!$A661:F2217,4,FALSE)</f>
      </c>
      <c r="E662" t="str">
        <f>DATE(YEAR(D662),MONTH(D662),DAY(D662))</f>
      </c>
      <c r="F662" t="str">
        <f>CONCATENATE(C662,E662)</f>
      </c>
      <c r="G662" t="str">
        <f>TIMEVALUE(D662)</f>
      </c>
      <c r="H662" t="str">
        <f>COUNTIF(Szamlaszamok!A:A,A662)</f>
      </c>
      <c r="I662" t="str">
        <f>SUMIFS(Szamlaszamok!E:E,Szamlaszamok!A:A,Szamlaszamok_nonduplicate!A662)</f>
      </c>
    </row>
    <row r="663" spans="1:9">
      <c r="A663" t="s">
        <v>2485</v>
      </c>
      <c r="B663" t="str">
        <f>VLOOKUP($A663,Szamlaszamok!$A662:F2218,2,FALSE)</f>
      </c>
      <c r="C663" t="str">
        <f>VLOOKUP($A663,Szamlaszamok!$A662:F2218,3,FALSE)</f>
      </c>
      <c r="D663" t="str">
        <f>VLOOKUP($A663,Szamlaszamok!$A662:F2218,4,FALSE)</f>
      </c>
      <c r="E663" t="str">
        <f>DATE(YEAR(D663),MONTH(D663),DAY(D663))</f>
      </c>
      <c r="F663" t="str">
        <f>CONCATENATE(C663,E663)</f>
      </c>
      <c r="G663" t="str">
        <f>TIMEVALUE(D663)</f>
      </c>
      <c r="H663" t="str">
        <f>COUNTIF(Szamlaszamok!A:A,A663)</f>
      </c>
      <c r="I663" t="str">
        <f>SUMIFS(Szamlaszamok!E:E,Szamlaszamok!A:A,Szamlaszamok_nonduplicate!A663)</f>
      </c>
    </row>
    <row r="664" spans="1:9">
      <c r="A664" t="s">
        <v>2489</v>
      </c>
      <c r="B664" t="str">
        <f>VLOOKUP($A664,Szamlaszamok!$A663:F2219,2,FALSE)</f>
      </c>
      <c r="C664" t="str">
        <f>VLOOKUP($A664,Szamlaszamok!$A663:F2219,3,FALSE)</f>
      </c>
      <c r="D664" t="str">
        <f>VLOOKUP($A664,Szamlaszamok!$A663:F2219,4,FALSE)</f>
      </c>
      <c r="E664" t="str">
        <f>DATE(YEAR(D664),MONTH(D664),DAY(D664))</f>
      </c>
      <c r="F664" t="str">
        <f>CONCATENATE(C664,E664)</f>
      </c>
      <c r="G664" t="str">
        <f>TIMEVALUE(D664)</f>
      </c>
      <c r="H664" t="str">
        <f>COUNTIF(Szamlaszamok!A:A,A664)</f>
      </c>
      <c r="I664" t="str">
        <f>SUMIFS(Szamlaszamok!E:E,Szamlaszamok!A:A,Szamlaszamok_nonduplicate!A664)</f>
      </c>
    </row>
    <row r="665" spans="1:9">
      <c r="A665" t="s">
        <v>2494</v>
      </c>
      <c r="B665" t="str">
        <f>VLOOKUP($A665,Szamlaszamok!$A664:F2220,2,FALSE)</f>
      </c>
      <c r="C665" t="str">
        <f>VLOOKUP($A665,Szamlaszamok!$A664:F2220,3,FALSE)</f>
      </c>
      <c r="D665" t="str">
        <f>VLOOKUP($A665,Szamlaszamok!$A664:F2220,4,FALSE)</f>
      </c>
      <c r="E665" t="str">
        <f>DATE(YEAR(D665),MONTH(D665),DAY(D665))</f>
      </c>
      <c r="F665" t="str">
        <f>CONCATENATE(C665,E665)</f>
      </c>
      <c r="G665" t="str">
        <f>TIMEVALUE(D665)</f>
      </c>
      <c r="H665" t="str">
        <f>COUNTIF(Szamlaszamok!A:A,A665)</f>
      </c>
      <c r="I665" t="str">
        <f>SUMIFS(Szamlaszamok!E:E,Szamlaszamok!A:A,Szamlaszamok_nonduplicate!A665)</f>
      </c>
    </row>
    <row r="666" spans="1:9">
      <c r="A666" t="s">
        <v>2497</v>
      </c>
      <c r="B666" t="str">
        <f>VLOOKUP($A666,Szamlaszamok!$A665:F2221,2,FALSE)</f>
      </c>
      <c r="C666" t="str">
        <f>VLOOKUP($A666,Szamlaszamok!$A665:F2221,3,FALSE)</f>
      </c>
      <c r="D666" t="str">
        <f>VLOOKUP($A666,Szamlaszamok!$A665:F2221,4,FALSE)</f>
      </c>
      <c r="E666" t="str">
        <f>DATE(YEAR(D666),MONTH(D666),DAY(D666))</f>
      </c>
      <c r="F666" t="str">
        <f>CONCATENATE(C666,E666)</f>
      </c>
      <c r="G666" t="str">
        <f>TIMEVALUE(D666)</f>
      </c>
      <c r="H666" t="str">
        <f>COUNTIF(Szamlaszamok!A:A,A666)</f>
      </c>
      <c r="I666" t="str">
        <f>SUMIFS(Szamlaszamok!E:E,Szamlaszamok!A:A,Szamlaszamok_nonduplicate!A666)</f>
      </c>
    </row>
    <row r="667" spans="1:9">
      <c r="A667" t="s">
        <v>2500</v>
      </c>
      <c r="B667" t="str">
        <f>VLOOKUP($A667,Szamlaszamok!$A666:F2222,2,FALSE)</f>
      </c>
      <c r="C667" t="str">
        <f>VLOOKUP($A667,Szamlaszamok!$A666:F2222,3,FALSE)</f>
      </c>
      <c r="D667" t="str">
        <f>VLOOKUP($A667,Szamlaszamok!$A666:F2222,4,FALSE)</f>
      </c>
      <c r="E667" t="str">
        <f>DATE(YEAR(D667),MONTH(D667),DAY(D667))</f>
      </c>
      <c r="F667" t="str">
        <f>CONCATENATE(C667,E667)</f>
      </c>
      <c r="G667" t="str">
        <f>TIMEVALUE(D667)</f>
      </c>
      <c r="H667" t="str">
        <f>COUNTIF(Szamlaszamok!A:A,A667)</f>
      </c>
      <c r="I667" t="str">
        <f>SUMIFS(Szamlaszamok!E:E,Szamlaszamok!A:A,Szamlaszamok_nonduplicate!A667)</f>
      </c>
    </row>
    <row r="668" spans="1:9">
      <c r="A668" t="s">
        <v>2504</v>
      </c>
      <c r="B668" t="str">
        <f>VLOOKUP($A668,Szamlaszamok!$A667:F2223,2,FALSE)</f>
      </c>
      <c r="C668" t="str">
        <f>VLOOKUP($A668,Szamlaszamok!$A667:F2223,3,FALSE)</f>
      </c>
      <c r="D668" t="str">
        <f>VLOOKUP($A668,Szamlaszamok!$A667:F2223,4,FALSE)</f>
      </c>
      <c r="E668" t="str">
        <f>DATE(YEAR(D668),MONTH(D668),DAY(D668))</f>
      </c>
      <c r="F668" t="str">
        <f>CONCATENATE(C668,E668)</f>
      </c>
      <c r="G668" t="str">
        <f>TIMEVALUE(D668)</f>
      </c>
      <c r="H668" t="str">
        <f>COUNTIF(Szamlaszamok!A:A,A668)</f>
      </c>
      <c r="I668" t="str">
        <f>SUMIFS(Szamlaszamok!E:E,Szamlaszamok!A:A,Szamlaszamok_nonduplicate!A668)</f>
      </c>
    </row>
    <row r="669" spans="1:9">
      <c r="A669" t="s">
        <v>2508</v>
      </c>
      <c r="B669" t="str">
        <f>VLOOKUP($A669,Szamlaszamok!$A668:F2224,2,FALSE)</f>
      </c>
      <c r="C669" t="str">
        <f>VLOOKUP($A669,Szamlaszamok!$A668:F2224,3,FALSE)</f>
      </c>
      <c r="D669" t="str">
        <f>VLOOKUP($A669,Szamlaszamok!$A668:F2224,4,FALSE)</f>
      </c>
      <c r="E669" t="str">
        <f>DATE(YEAR(D669),MONTH(D669),DAY(D669))</f>
      </c>
      <c r="F669" t="str">
        <f>CONCATENATE(C669,E669)</f>
      </c>
      <c r="G669" t="str">
        <f>TIMEVALUE(D669)</f>
      </c>
      <c r="H669" t="str">
        <f>COUNTIF(Szamlaszamok!A:A,A669)</f>
      </c>
      <c r="I669" t="str">
        <f>SUMIFS(Szamlaszamok!E:E,Szamlaszamok!A:A,Szamlaszamok_nonduplicate!A669)</f>
      </c>
    </row>
    <row r="670" spans="1:9">
      <c r="A670" t="s">
        <v>2512</v>
      </c>
      <c r="B670" t="str">
        <f>VLOOKUP($A670,Szamlaszamok!$A669:F2225,2,FALSE)</f>
      </c>
      <c r="C670" t="str">
        <f>VLOOKUP($A670,Szamlaszamok!$A669:F2225,3,FALSE)</f>
      </c>
      <c r="D670" t="str">
        <f>VLOOKUP($A670,Szamlaszamok!$A669:F2225,4,FALSE)</f>
      </c>
      <c r="E670" t="str">
        <f>DATE(YEAR(D670),MONTH(D670),DAY(D670))</f>
      </c>
      <c r="F670" t="str">
        <f>CONCATENATE(C670,E670)</f>
      </c>
      <c r="G670" t="str">
        <f>TIMEVALUE(D670)</f>
      </c>
      <c r="H670" t="str">
        <f>COUNTIF(Szamlaszamok!A:A,A670)</f>
      </c>
      <c r="I670" t="str">
        <f>SUMIFS(Szamlaszamok!E:E,Szamlaszamok!A:A,Szamlaszamok_nonduplicate!A670)</f>
      </c>
    </row>
    <row r="671" spans="1:9">
      <c r="A671" t="s">
        <v>2516</v>
      </c>
      <c r="B671" t="str">
        <f>VLOOKUP($A671,Szamlaszamok!$A670:F2226,2,FALSE)</f>
      </c>
      <c r="C671" t="str">
        <f>VLOOKUP($A671,Szamlaszamok!$A670:F2226,3,FALSE)</f>
      </c>
      <c r="D671" t="str">
        <f>VLOOKUP($A671,Szamlaszamok!$A670:F2226,4,FALSE)</f>
      </c>
      <c r="E671" t="str">
        <f>DATE(YEAR(D671),MONTH(D671),DAY(D671))</f>
      </c>
      <c r="F671" t="str">
        <f>CONCATENATE(C671,E671)</f>
      </c>
      <c r="G671" t="str">
        <f>TIMEVALUE(D671)</f>
      </c>
      <c r="H671" t="str">
        <f>COUNTIF(Szamlaszamok!A:A,A671)</f>
      </c>
      <c r="I671" t="str">
        <f>SUMIFS(Szamlaszamok!E:E,Szamlaszamok!A:A,Szamlaszamok_nonduplicate!A671)</f>
      </c>
    </row>
    <row r="672" spans="1:9">
      <c r="A672" t="s">
        <v>2520</v>
      </c>
      <c r="B672" t="str">
        <f>VLOOKUP($A672,Szamlaszamok!$A671:F2227,2,FALSE)</f>
      </c>
      <c r="C672" t="str">
        <f>VLOOKUP($A672,Szamlaszamok!$A671:F2227,3,FALSE)</f>
      </c>
      <c r="D672" t="str">
        <f>VLOOKUP($A672,Szamlaszamok!$A671:F2227,4,FALSE)</f>
      </c>
      <c r="E672" t="str">
        <f>DATE(YEAR(D672),MONTH(D672),DAY(D672))</f>
      </c>
      <c r="F672" t="str">
        <f>CONCATENATE(C672,E672)</f>
      </c>
      <c r="G672" t="str">
        <f>TIMEVALUE(D672)</f>
      </c>
      <c r="H672" t="str">
        <f>COUNTIF(Szamlaszamok!A:A,A672)</f>
      </c>
      <c r="I672" t="str">
        <f>SUMIFS(Szamlaszamok!E:E,Szamlaszamok!A:A,Szamlaszamok_nonduplicate!A672)</f>
      </c>
    </row>
    <row r="673" spans="1:9">
      <c r="A673" t="s">
        <v>2524</v>
      </c>
      <c r="B673" t="str">
        <f>VLOOKUP($A673,Szamlaszamok!$A672:F2228,2,FALSE)</f>
      </c>
      <c r="C673" t="str">
        <f>VLOOKUP($A673,Szamlaszamok!$A672:F2228,3,FALSE)</f>
      </c>
      <c r="D673" t="str">
        <f>VLOOKUP($A673,Szamlaszamok!$A672:F2228,4,FALSE)</f>
      </c>
      <c r="E673" t="str">
        <f>DATE(YEAR(D673),MONTH(D673),DAY(D673))</f>
      </c>
      <c r="F673" t="str">
        <f>CONCATENATE(C673,E673)</f>
      </c>
      <c r="G673" t="str">
        <f>TIMEVALUE(D673)</f>
      </c>
      <c r="H673" t="str">
        <f>COUNTIF(Szamlaszamok!A:A,A673)</f>
      </c>
      <c r="I673" t="str">
        <f>SUMIFS(Szamlaszamok!E:E,Szamlaszamok!A:A,Szamlaszamok_nonduplicate!A673)</f>
      </c>
    </row>
    <row r="674" spans="1:9">
      <c r="A674" t="s">
        <v>2528</v>
      </c>
      <c r="B674" t="str">
        <f>VLOOKUP($A674,Szamlaszamok!$A673:F2229,2,FALSE)</f>
      </c>
      <c r="C674" t="str">
        <f>VLOOKUP($A674,Szamlaszamok!$A673:F2229,3,FALSE)</f>
      </c>
      <c r="D674" t="str">
        <f>VLOOKUP($A674,Szamlaszamok!$A673:F2229,4,FALSE)</f>
      </c>
      <c r="E674" t="str">
        <f>DATE(YEAR(D674),MONTH(D674),DAY(D674))</f>
      </c>
      <c r="F674" t="str">
        <f>CONCATENATE(C674,E674)</f>
      </c>
      <c r="G674" t="str">
        <f>TIMEVALUE(D674)</f>
      </c>
      <c r="H674" t="str">
        <f>COUNTIF(Szamlaszamok!A:A,A674)</f>
      </c>
      <c r="I674" t="str">
        <f>SUMIFS(Szamlaszamok!E:E,Szamlaszamok!A:A,Szamlaszamok_nonduplicate!A674)</f>
      </c>
    </row>
    <row r="675" spans="1:9">
      <c r="A675" t="s">
        <v>2532</v>
      </c>
      <c r="B675" t="str">
        <f>VLOOKUP($A675,Szamlaszamok!$A674:F2230,2,FALSE)</f>
      </c>
      <c r="C675" t="str">
        <f>VLOOKUP($A675,Szamlaszamok!$A674:F2230,3,FALSE)</f>
      </c>
      <c r="D675" t="str">
        <f>VLOOKUP($A675,Szamlaszamok!$A674:F2230,4,FALSE)</f>
      </c>
      <c r="E675" t="str">
        <f>DATE(YEAR(D675),MONTH(D675),DAY(D675))</f>
      </c>
      <c r="F675" t="str">
        <f>CONCATENATE(C675,E675)</f>
      </c>
      <c r="G675" t="str">
        <f>TIMEVALUE(D675)</f>
      </c>
      <c r="H675" t="str">
        <f>COUNTIF(Szamlaszamok!A:A,A675)</f>
      </c>
      <c r="I675" t="str">
        <f>SUMIFS(Szamlaszamok!E:E,Szamlaszamok!A:A,Szamlaszamok_nonduplicate!A675)</f>
      </c>
    </row>
    <row r="676" spans="1:9">
      <c r="A676" t="s">
        <v>2535</v>
      </c>
      <c r="B676" t="str">
        <f>VLOOKUP($A676,Szamlaszamok!$A675:F2231,2,FALSE)</f>
      </c>
      <c r="C676" t="str">
        <f>VLOOKUP($A676,Szamlaszamok!$A675:F2231,3,FALSE)</f>
      </c>
      <c r="D676" t="str">
        <f>VLOOKUP($A676,Szamlaszamok!$A675:F2231,4,FALSE)</f>
      </c>
      <c r="E676" t="str">
        <f>DATE(YEAR(D676),MONTH(D676),DAY(D676))</f>
      </c>
      <c r="F676" t="str">
        <f>CONCATENATE(C676,E676)</f>
      </c>
      <c r="G676" t="str">
        <f>TIMEVALUE(D676)</f>
      </c>
      <c r="H676" t="str">
        <f>COUNTIF(Szamlaszamok!A:A,A676)</f>
      </c>
      <c r="I676" t="str">
        <f>SUMIFS(Szamlaszamok!E:E,Szamlaszamok!A:A,Szamlaszamok_nonduplicate!A676)</f>
      </c>
    </row>
    <row r="677" spans="1:9">
      <c r="A677" t="s">
        <v>2539</v>
      </c>
      <c r="B677" t="str">
        <f>VLOOKUP($A677,Szamlaszamok!$A676:F2232,2,FALSE)</f>
      </c>
      <c r="C677" t="str">
        <f>VLOOKUP($A677,Szamlaszamok!$A676:F2232,3,FALSE)</f>
      </c>
      <c r="D677" t="str">
        <f>VLOOKUP($A677,Szamlaszamok!$A676:F2232,4,FALSE)</f>
      </c>
      <c r="E677" t="str">
        <f>DATE(YEAR(D677),MONTH(D677),DAY(D677))</f>
      </c>
      <c r="F677" t="str">
        <f>CONCATENATE(C677,E677)</f>
      </c>
      <c r="G677" t="str">
        <f>TIMEVALUE(D677)</f>
      </c>
      <c r="H677" t="str">
        <f>COUNTIF(Szamlaszamok!A:A,A677)</f>
      </c>
      <c r="I677" t="str">
        <f>SUMIFS(Szamlaszamok!E:E,Szamlaszamok!A:A,Szamlaszamok_nonduplicate!A677)</f>
      </c>
    </row>
    <row r="678" spans="1:9">
      <c r="A678" t="s">
        <v>2543</v>
      </c>
      <c r="B678" t="str">
        <f>VLOOKUP($A678,Szamlaszamok!$A677:F2233,2,FALSE)</f>
      </c>
      <c r="C678" t="str">
        <f>VLOOKUP($A678,Szamlaszamok!$A677:F2233,3,FALSE)</f>
      </c>
      <c r="D678" t="str">
        <f>VLOOKUP($A678,Szamlaszamok!$A677:F2233,4,FALSE)</f>
      </c>
      <c r="E678" t="str">
        <f>DATE(YEAR(D678),MONTH(D678),DAY(D678))</f>
      </c>
      <c r="F678" t="str">
        <f>CONCATENATE(C678,E678)</f>
      </c>
      <c r="G678" t="str">
        <f>TIMEVALUE(D678)</f>
      </c>
      <c r="H678" t="str">
        <f>COUNTIF(Szamlaszamok!A:A,A678)</f>
      </c>
      <c r="I678" t="str">
        <f>SUMIFS(Szamlaszamok!E:E,Szamlaszamok!A:A,Szamlaszamok_nonduplicate!A678)</f>
      </c>
    </row>
    <row r="679" spans="1:9">
      <c r="A679" t="s">
        <v>2547</v>
      </c>
      <c r="B679" t="str">
        <f>VLOOKUP($A679,Szamlaszamok!$A678:F2234,2,FALSE)</f>
      </c>
      <c r="C679" t="str">
        <f>VLOOKUP($A679,Szamlaszamok!$A678:F2234,3,FALSE)</f>
      </c>
      <c r="D679" t="str">
        <f>VLOOKUP($A679,Szamlaszamok!$A678:F2234,4,FALSE)</f>
      </c>
      <c r="E679" t="str">
        <f>DATE(YEAR(D679),MONTH(D679),DAY(D679))</f>
      </c>
      <c r="F679" t="str">
        <f>CONCATENATE(C679,E679)</f>
      </c>
      <c r="G679" t="str">
        <f>TIMEVALUE(D679)</f>
      </c>
      <c r="H679" t="str">
        <f>COUNTIF(Szamlaszamok!A:A,A679)</f>
      </c>
      <c r="I679" t="str">
        <f>SUMIFS(Szamlaszamok!E:E,Szamlaszamok!A:A,Szamlaszamok_nonduplicate!A679)</f>
      </c>
    </row>
    <row r="680" spans="1:9">
      <c r="A680" t="s">
        <v>2552</v>
      </c>
      <c r="B680" t="str">
        <f>VLOOKUP($A680,Szamlaszamok!$A679:F2235,2,FALSE)</f>
      </c>
      <c r="C680" t="str">
        <f>VLOOKUP($A680,Szamlaszamok!$A679:F2235,3,FALSE)</f>
      </c>
      <c r="D680" t="str">
        <f>VLOOKUP($A680,Szamlaszamok!$A679:F2235,4,FALSE)</f>
      </c>
      <c r="E680" t="str">
        <f>DATE(YEAR(D680),MONTH(D680),DAY(D680))</f>
      </c>
      <c r="F680" t="str">
        <f>CONCATENATE(C680,E680)</f>
      </c>
      <c r="G680" t="str">
        <f>TIMEVALUE(D680)</f>
      </c>
      <c r="H680" t="str">
        <f>COUNTIF(Szamlaszamok!A:A,A680)</f>
      </c>
      <c r="I680" t="str">
        <f>SUMIFS(Szamlaszamok!E:E,Szamlaszamok!A:A,Szamlaszamok_nonduplicate!A680)</f>
      </c>
    </row>
    <row r="681" spans="1:9">
      <c r="A681" t="s">
        <v>2556</v>
      </c>
      <c r="B681" t="str">
        <f>VLOOKUP($A681,Szamlaszamok!$A680:F2236,2,FALSE)</f>
      </c>
      <c r="C681" t="str">
        <f>VLOOKUP($A681,Szamlaszamok!$A680:F2236,3,FALSE)</f>
      </c>
      <c r="D681" t="str">
        <f>VLOOKUP($A681,Szamlaszamok!$A680:F2236,4,FALSE)</f>
      </c>
      <c r="E681" t="str">
        <f>DATE(YEAR(D681),MONTH(D681),DAY(D681))</f>
      </c>
      <c r="F681" t="str">
        <f>CONCATENATE(C681,E681)</f>
      </c>
      <c r="G681" t="str">
        <f>TIMEVALUE(D681)</f>
      </c>
      <c r="H681" t="str">
        <f>COUNTIF(Szamlaszamok!A:A,A681)</f>
      </c>
      <c r="I681" t="str">
        <f>SUMIFS(Szamlaszamok!E:E,Szamlaszamok!A:A,Szamlaszamok_nonduplicate!A681)</f>
      </c>
    </row>
    <row r="682" spans="1:9">
      <c r="A682" t="s">
        <v>2560</v>
      </c>
      <c r="B682" t="str">
        <f>VLOOKUP($A682,Szamlaszamok!$A681:F2237,2,FALSE)</f>
      </c>
      <c r="C682" t="str">
        <f>VLOOKUP($A682,Szamlaszamok!$A681:F2237,3,FALSE)</f>
      </c>
      <c r="D682" t="str">
        <f>VLOOKUP($A682,Szamlaszamok!$A681:F2237,4,FALSE)</f>
      </c>
      <c r="E682" t="str">
        <f>DATE(YEAR(D682),MONTH(D682),DAY(D682))</f>
      </c>
      <c r="F682" t="str">
        <f>CONCATENATE(C682,E682)</f>
      </c>
      <c r="G682" t="str">
        <f>TIMEVALUE(D682)</f>
      </c>
      <c r="H682" t="str">
        <f>COUNTIF(Szamlaszamok!A:A,A682)</f>
      </c>
      <c r="I682" t="str">
        <f>SUMIFS(Szamlaszamok!E:E,Szamlaszamok!A:A,Szamlaszamok_nonduplicate!A682)</f>
      </c>
    </row>
    <row r="683" spans="1:9">
      <c r="A683" t="s">
        <v>2563</v>
      </c>
      <c r="B683" t="str">
        <f>VLOOKUP($A683,Szamlaszamok!$A682:F2238,2,FALSE)</f>
      </c>
      <c r="C683" t="str">
        <f>VLOOKUP($A683,Szamlaszamok!$A682:F2238,3,FALSE)</f>
      </c>
      <c r="D683" t="str">
        <f>VLOOKUP($A683,Szamlaszamok!$A682:F2238,4,FALSE)</f>
      </c>
      <c r="E683" t="str">
        <f>DATE(YEAR(D683),MONTH(D683),DAY(D683))</f>
      </c>
      <c r="F683" t="str">
        <f>CONCATENATE(C683,E683)</f>
      </c>
      <c r="G683" t="str">
        <f>TIMEVALUE(D683)</f>
      </c>
      <c r="H683" t="str">
        <f>COUNTIF(Szamlaszamok!A:A,A683)</f>
      </c>
      <c r="I683" t="str">
        <f>SUMIFS(Szamlaszamok!E:E,Szamlaszamok!A:A,Szamlaszamok_nonduplicate!A683)</f>
      </c>
    </row>
    <row r="684" spans="1:9">
      <c r="A684" t="s">
        <v>2567</v>
      </c>
      <c r="B684" t="str">
        <f>VLOOKUP($A684,Szamlaszamok!$A683:F2239,2,FALSE)</f>
      </c>
      <c r="C684" t="str">
        <f>VLOOKUP($A684,Szamlaszamok!$A683:F2239,3,FALSE)</f>
      </c>
      <c r="D684" t="str">
        <f>VLOOKUP($A684,Szamlaszamok!$A683:F2239,4,FALSE)</f>
      </c>
      <c r="E684" t="str">
        <f>DATE(YEAR(D684),MONTH(D684),DAY(D684))</f>
      </c>
      <c r="F684" t="str">
        <f>CONCATENATE(C684,E684)</f>
      </c>
      <c r="G684" t="str">
        <f>TIMEVALUE(D684)</f>
      </c>
      <c r="H684" t="str">
        <f>COUNTIF(Szamlaszamok!A:A,A684)</f>
      </c>
      <c r="I684" t="str">
        <f>SUMIFS(Szamlaszamok!E:E,Szamlaszamok!A:A,Szamlaszamok_nonduplicate!A684)</f>
      </c>
    </row>
    <row r="685" spans="1:9">
      <c r="A685" t="s">
        <v>2571</v>
      </c>
      <c r="B685" t="str">
        <f>VLOOKUP($A685,Szamlaszamok!$A684:F2240,2,FALSE)</f>
      </c>
      <c r="C685" t="str">
        <f>VLOOKUP($A685,Szamlaszamok!$A684:F2240,3,FALSE)</f>
      </c>
      <c r="D685" t="str">
        <f>VLOOKUP($A685,Szamlaszamok!$A684:F2240,4,FALSE)</f>
      </c>
      <c r="E685" t="str">
        <f>DATE(YEAR(D685),MONTH(D685),DAY(D685))</f>
      </c>
      <c r="F685" t="str">
        <f>CONCATENATE(C685,E685)</f>
      </c>
      <c r="G685" t="str">
        <f>TIMEVALUE(D685)</f>
      </c>
      <c r="H685" t="str">
        <f>COUNTIF(Szamlaszamok!A:A,A685)</f>
      </c>
      <c r="I685" t="str">
        <f>SUMIFS(Szamlaszamok!E:E,Szamlaszamok!A:A,Szamlaszamok_nonduplicate!A685)</f>
      </c>
    </row>
    <row r="686" spans="1:9">
      <c r="A686" t="s">
        <v>2575</v>
      </c>
      <c r="B686" t="str">
        <f>VLOOKUP($A686,Szamlaszamok!$A685:F2241,2,FALSE)</f>
      </c>
      <c r="C686" t="str">
        <f>VLOOKUP($A686,Szamlaszamok!$A685:F2241,3,FALSE)</f>
      </c>
      <c r="D686" t="str">
        <f>VLOOKUP($A686,Szamlaszamok!$A685:F2241,4,FALSE)</f>
      </c>
      <c r="E686" t="str">
        <f>DATE(YEAR(D686),MONTH(D686),DAY(D686))</f>
      </c>
      <c r="F686" t="str">
        <f>CONCATENATE(C686,E686)</f>
      </c>
      <c r="G686" t="str">
        <f>TIMEVALUE(D686)</f>
      </c>
      <c r="H686" t="str">
        <f>COUNTIF(Szamlaszamok!A:A,A686)</f>
      </c>
      <c r="I686" t="str">
        <f>SUMIFS(Szamlaszamok!E:E,Szamlaszamok!A:A,Szamlaszamok_nonduplicate!A686)</f>
      </c>
    </row>
    <row r="687" spans="1:9">
      <c r="A687" t="s">
        <v>2578</v>
      </c>
      <c r="B687" t="str">
        <f>VLOOKUP($A687,Szamlaszamok!$A686:F2242,2,FALSE)</f>
      </c>
      <c r="C687" t="str">
        <f>VLOOKUP($A687,Szamlaszamok!$A686:F2242,3,FALSE)</f>
      </c>
      <c r="D687" t="str">
        <f>VLOOKUP($A687,Szamlaszamok!$A686:F2242,4,FALSE)</f>
      </c>
      <c r="E687" t="str">
        <f>DATE(YEAR(D687),MONTH(D687),DAY(D687))</f>
      </c>
      <c r="F687" t="str">
        <f>CONCATENATE(C687,E687)</f>
      </c>
      <c r="G687" t="str">
        <f>TIMEVALUE(D687)</f>
      </c>
      <c r="H687" t="str">
        <f>COUNTIF(Szamlaszamok!A:A,A687)</f>
      </c>
      <c r="I687" t="str">
        <f>SUMIFS(Szamlaszamok!E:E,Szamlaszamok!A:A,Szamlaszamok_nonduplicate!A687)</f>
      </c>
    </row>
    <row r="688" spans="1:9">
      <c r="A688" t="s">
        <v>2581</v>
      </c>
      <c r="B688" t="str">
        <f>VLOOKUP($A688,Szamlaszamok!$A687:F2243,2,FALSE)</f>
      </c>
      <c r="C688" t="str">
        <f>VLOOKUP($A688,Szamlaszamok!$A687:F2243,3,FALSE)</f>
      </c>
      <c r="D688" t="str">
        <f>VLOOKUP($A688,Szamlaszamok!$A687:F2243,4,FALSE)</f>
      </c>
      <c r="E688" t="str">
        <f>DATE(YEAR(D688),MONTH(D688),DAY(D688))</f>
      </c>
      <c r="F688" t="str">
        <f>CONCATENATE(C688,E688)</f>
      </c>
      <c r="G688" t="str">
        <f>TIMEVALUE(D688)</f>
      </c>
      <c r="H688" t="str">
        <f>COUNTIF(Szamlaszamok!A:A,A688)</f>
      </c>
      <c r="I688" t="str">
        <f>SUMIFS(Szamlaszamok!E:E,Szamlaszamok!A:A,Szamlaszamok_nonduplicate!A688)</f>
      </c>
    </row>
    <row r="689" spans="1:9">
      <c r="A689" t="s">
        <v>2584</v>
      </c>
      <c r="B689" t="str">
        <f>VLOOKUP($A689,Szamlaszamok!$A688:F2244,2,FALSE)</f>
      </c>
      <c r="C689" t="str">
        <f>VLOOKUP($A689,Szamlaszamok!$A688:F2244,3,FALSE)</f>
      </c>
      <c r="D689" t="str">
        <f>VLOOKUP($A689,Szamlaszamok!$A688:F2244,4,FALSE)</f>
      </c>
      <c r="E689" t="str">
        <f>DATE(YEAR(D689),MONTH(D689),DAY(D689))</f>
      </c>
      <c r="F689" t="str">
        <f>CONCATENATE(C689,E689)</f>
      </c>
      <c r="G689" t="str">
        <f>TIMEVALUE(D689)</f>
      </c>
      <c r="H689" t="str">
        <f>COUNTIF(Szamlaszamok!A:A,A689)</f>
      </c>
      <c r="I689" t="str">
        <f>SUMIFS(Szamlaszamok!E:E,Szamlaszamok!A:A,Szamlaszamok_nonduplicate!A689)</f>
      </c>
    </row>
    <row r="690" spans="1:9">
      <c r="A690" t="s">
        <v>2588</v>
      </c>
      <c r="B690" t="str">
        <f>VLOOKUP($A690,Szamlaszamok!$A689:F2245,2,FALSE)</f>
      </c>
      <c r="C690" t="str">
        <f>VLOOKUP($A690,Szamlaszamok!$A689:F2245,3,FALSE)</f>
      </c>
      <c r="D690" t="str">
        <f>VLOOKUP($A690,Szamlaszamok!$A689:F2245,4,FALSE)</f>
      </c>
      <c r="E690" t="str">
        <f>DATE(YEAR(D690),MONTH(D690),DAY(D690))</f>
      </c>
      <c r="F690" t="str">
        <f>CONCATENATE(C690,E690)</f>
      </c>
      <c r="G690" t="str">
        <f>TIMEVALUE(D690)</f>
      </c>
      <c r="H690" t="str">
        <f>COUNTIF(Szamlaszamok!A:A,A690)</f>
      </c>
      <c r="I690" t="str">
        <f>SUMIFS(Szamlaszamok!E:E,Szamlaszamok!A:A,Szamlaszamok_nonduplicate!A690)</f>
      </c>
    </row>
    <row r="691" spans="1:9">
      <c r="A691" t="s">
        <v>2592</v>
      </c>
      <c r="B691" t="str">
        <f>VLOOKUP($A691,Szamlaszamok!$A690:F2246,2,FALSE)</f>
      </c>
      <c r="C691" t="str">
        <f>VLOOKUP($A691,Szamlaszamok!$A690:F2246,3,FALSE)</f>
      </c>
      <c r="D691" t="str">
        <f>VLOOKUP($A691,Szamlaszamok!$A690:F2246,4,FALSE)</f>
      </c>
      <c r="E691" t="str">
        <f>DATE(YEAR(D691),MONTH(D691),DAY(D691))</f>
      </c>
      <c r="F691" t="str">
        <f>CONCATENATE(C691,E691)</f>
      </c>
      <c r="G691" t="str">
        <f>TIMEVALUE(D691)</f>
      </c>
      <c r="H691" t="str">
        <f>COUNTIF(Szamlaszamok!A:A,A691)</f>
      </c>
      <c r="I691" t="str">
        <f>SUMIFS(Szamlaszamok!E:E,Szamlaszamok!A:A,Szamlaszamok_nonduplicate!A691)</f>
      </c>
    </row>
    <row r="692" spans="1:9">
      <c r="A692" t="s">
        <v>2596</v>
      </c>
      <c r="B692" t="str">
        <f>VLOOKUP($A692,Szamlaszamok!$A691:F2247,2,FALSE)</f>
      </c>
      <c r="C692" t="str">
        <f>VLOOKUP($A692,Szamlaszamok!$A691:F2247,3,FALSE)</f>
      </c>
      <c r="D692" t="str">
        <f>VLOOKUP($A692,Szamlaszamok!$A691:F2247,4,FALSE)</f>
      </c>
      <c r="E692" t="str">
        <f>DATE(YEAR(D692),MONTH(D692),DAY(D692))</f>
      </c>
      <c r="F692" t="str">
        <f>CONCATENATE(C692,E692)</f>
      </c>
      <c r="G692" t="str">
        <f>TIMEVALUE(D692)</f>
      </c>
      <c r="H692" t="str">
        <f>COUNTIF(Szamlaszamok!A:A,A692)</f>
      </c>
      <c r="I692" t="str">
        <f>SUMIFS(Szamlaszamok!E:E,Szamlaszamok!A:A,Szamlaszamok_nonduplicate!A692)</f>
      </c>
    </row>
    <row r="693" spans="1:9">
      <c r="A693" t="s">
        <v>2600</v>
      </c>
      <c r="B693" t="str">
        <f>VLOOKUP($A693,Szamlaszamok!$A692:F2248,2,FALSE)</f>
      </c>
      <c r="C693" t="str">
        <f>VLOOKUP($A693,Szamlaszamok!$A692:F2248,3,FALSE)</f>
      </c>
      <c r="D693" t="str">
        <f>VLOOKUP($A693,Szamlaszamok!$A692:F2248,4,FALSE)</f>
      </c>
      <c r="E693" t="str">
        <f>DATE(YEAR(D693),MONTH(D693),DAY(D693))</f>
      </c>
      <c r="F693" t="str">
        <f>CONCATENATE(C693,E693)</f>
      </c>
      <c r="G693" t="str">
        <f>TIMEVALUE(D693)</f>
      </c>
      <c r="H693" t="str">
        <f>COUNTIF(Szamlaszamok!A:A,A693)</f>
      </c>
      <c r="I693" t="str">
        <f>SUMIFS(Szamlaszamok!E:E,Szamlaszamok!A:A,Szamlaszamok_nonduplicate!A693)</f>
      </c>
    </row>
    <row r="694" spans="1:9">
      <c r="A694" t="s">
        <v>2604</v>
      </c>
      <c r="B694" t="str">
        <f>VLOOKUP($A694,Szamlaszamok!$A693:F2249,2,FALSE)</f>
      </c>
      <c r="C694" t="str">
        <f>VLOOKUP($A694,Szamlaszamok!$A693:F2249,3,FALSE)</f>
      </c>
      <c r="D694" t="str">
        <f>VLOOKUP($A694,Szamlaszamok!$A693:F2249,4,FALSE)</f>
      </c>
      <c r="E694" t="str">
        <f>DATE(YEAR(D694),MONTH(D694),DAY(D694))</f>
      </c>
      <c r="F694" t="str">
        <f>CONCATENATE(C694,E694)</f>
      </c>
      <c r="G694" t="str">
        <f>TIMEVALUE(D694)</f>
      </c>
      <c r="H694" t="str">
        <f>COUNTIF(Szamlaszamok!A:A,A694)</f>
      </c>
      <c r="I694" t="str">
        <f>SUMIFS(Szamlaszamok!E:E,Szamlaszamok!A:A,Szamlaszamok_nonduplicate!A694)</f>
      </c>
    </row>
    <row r="695" spans="1:9">
      <c r="A695" t="s">
        <v>2608</v>
      </c>
      <c r="B695" t="str">
        <f>VLOOKUP($A695,Szamlaszamok!$A694:F2250,2,FALSE)</f>
      </c>
      <c r="C695" t="str">
        <f>VLOOKUP($A695,Szamlaszamok!$A694:F2250,3,FALSE)</f>
      </c>
      <c r="D695" t="str">
        <f>VLOOKUP($A695,Szamlaszamok!$A694:F2250,4,FALSE)</f>
      </c>
      <c r="E695" t="str">
        <f>DATE(YEAR(D695),MONTH(D695),DAY(D695))</f>
      </c>
      <c r="F695" t="str">
        <f>CONCATENATE(C695,E695)</f>
      </c>
      <c r="G695" t="str">
        <f>TIMEVALUE(D695)</f>
      </c>
      <c r="H695" t="str">
        <f>COUNTIF(Szamlaszamok!A:A,A695)</f>
      </c>
      <c r="I695" t="str">
        <f>SUMIFS(Szamlaszamok!E:E,Szamlaszamok!A:A,Szamlaszamok_nonduplicate!A695)</f>
      </c>
    </row>
    <row r="696" spans="1:9">
      <c r="A696" t="s">
        <v>2612</v>
      </c>
      <c r="B696" t="str">
        <f>VLOOKUP($A696,Szamlaszamok!$A695:F2251,2,FALSE)</f>
      </c>
      <c r="C696" t="str">
        <f>VLOOKUP($A696,Szamlaszamok!$A695:F2251,3,FALSE)</f>
      </c>
      <c r="D696" t="str">
        <f>VLOOKUP($A696,Szamlaszamok!$A695:F2251,4,FALSE)</f>
      </c>
      <c r="E696" t="str">
        <f>DATE(YEAR(D696),MONTH(D696),DAY(D696))</f>
      </c>
      <c r="F696" t="str">
        <f>CONCATENATE(C696,E696)</f>
      </c>
      <c r="G696" t="str">
        <f>TIMEVALUE(D696)</f>
      </c>
      <c r="H696" t="str">
        <f>COUNTIF(Szamlaszamok!A:A,A696)</f>
      </c>
      <c r="I696" t="str">
        <f>SUMIFS(Szamlaszamok!E:E,Szamlaszamok!A:A,Szamlaszamok_nonduplicate!A696)</f>
      </c>
    </row>
    <row r="697" spans="1:9">
      <c r="A697" t="s">
        <v>2616</v>
      </c>
      <c r="B697" t="str">
        <f>VLOOKUP($A697,Szamlaszamok!$A696:F2252,2,FALSE)</f>
      </c>
      <c r="C697" t="str">
        <f>VLOOKUP($A697,Szamlaszamok!$A696:F2252,3,FALSE)</f>
      </c>
      <c r="D697" t="str">
        <f>VLOOKUP($A697,Szamlaszamok!$A696:F2252,4,FALSE)</f>
      </c>
      <c r="E697" t="str">
        <f>DATE(YEAR(D697),MONTH(D697),DAY(D697))</f>
      </c>
      <c r="F697" t="str">
        <f>CONCATENATE(C697,E697)</f>
      </c>
      <c r="G697" t="str">
        <f>TIMEVALUE(D697)</f>
      </c>
      <c r="H697" t="str">
        <f>COUNTIF(Szamlaszamok!A:A,A697)</f>
      </c>
      <c r="I697" t="str">
        <f>SUMIFS(Szamlaszamok!E:E,Szamlaszamok!A:A,Szamlaszamok_nonduplicate!A697)</f>
      </c>
    </row>
    <row r="698" spans="1:9">
      <c r="A698" t="s">
        <v>2620</v>
      </c>
      <c r="B698" t="str">
        <f>VLOOKUP($A698,Szamlaszamok!$A697:F2253,2,FALSE)</f>
      </c>
      <c r="C698" t="str">
        <f>VLOOKUP($A698,Szamlaszamok!$A697:F2253,3,FALSE)</f>
      </c>
      <c r="D698" t="str">
        <f>VLOOKUP($A698,Szamlaszamok!$A697:F2253,4,FALSE)</f>
      </c>
      <c r="E698" t="str">
        <f>DATE(YEAR(D698),MONTH(D698),DAY(D698))</f>
      </c>
      <c r="F698" t="str">
        <f>CONCATENATE(C698,E698)</f>
      </c>
      <c r="G698" t="str">
        <f>TIMEVALUE(D698)</f>
      </c>
      <c r="H698" t="str">
        <f>COUNTIF(Szamlaszamok!A:A,A698)</f>
      </c>
      <c r="I698" t="str">
        <f>SUMIFS(Szamlaszamok!E:E,Szamlaszamok!A:A,Szamlaszamok_nonduplicate!A698)</f>
      </c>
    </row>
    <row r="699" spans="1:9">
      <c r="A699" t="s">
        <v>2623</v>
      </c>
      <c r="B699" t="str">
        <f>VLOOKUP($A699,Szamlaszamok!$A698:F2254,2,FALSE)</f>
      </c>
      <c r="C699" t="str">
        <f>VLOOKUP($A699,Szamlaszamok!$A698:F2254,3,FALSE)</f>
      </c>
      <c r="D699" t="str">
        <f>VLOOKUP($A699,Szamlaszamok!$A698:F2254,4,FALSE)</f>
      </c>
      <c r="E699" t="str">
        <f>DATE(YEAR(D699),MONTH(D699),DAY(D699))</f>
      </c>
      <c r="F699" t="str">
        <f>CONCATENATE(C699,E699)</f>
      </c>
      <c r="G699" t="str">
        <f>TIMEVALUE(D699)</f>
      </c>
      <c r="H699" t="str">
        <f>COUNTIF(Szamlaszamok!A:A,A699)</f>
      </c>
      <c r="I699" t="str">
        <f>SUMIFS(Szamlaszamok!E:E,Szamlaszamok!A:A,Szamlaszamok_nonduplicate!A699)</f>
      </c>
    </row>
    <row r="700" spans="1:9">
      <c r="A700" t="s">
        <v>2626</v>
      </c>
      <c r="B700" t="str">
        <f>VLOOKUP($A700,Szamlaszamok!$A699:F2255,2,FALSE)</f>
      </c>
      <c r="C700" t="str">
        <f>VLOOKUP($A700,Szamlaszamok!$A699:F2255,3,FALSE)</f>
      </c>
      <c r="D700" t="str">
        <f>VLOOKUP($A700,Szamlaszamok!$A699:F2255,4,FALSE)</f>
      </c>
      <c r="E700" t="str">
        <f>DATE(YEAR(D700),MONTH(D700),DAY(D700))</f>
      </c>
      <c r="F700" t="str">
        <f>CONCATENATE(C700,E700)</f>
      </c>
      <c r="G700" t="str">
        <f>TIMEVALUE(D700)</f>
      </c>
      <c r="H700" t="str">
        <f>COUNTIF(Szamlaszamok!A:A,A700)</f>
      </c>
      <c r="I700" t="str">
        <f>SUMIFS(Szamlaszamok!E:E,Szamlaszamok!A:A,Szamlaszamok_nonduplicate!A700)</f>
      </c>
    </row>
    <row r="701" spans="1:9">
      <c r="A701" t="s">
        <v>2630</v>
      </c>
      <c r="B701" t="str">
        <f>VLOOKUP($A701,Szamlaszamok!$A700:F2256,2,FALSE)</f>
      </c>
      <c r="C701" t="str">
        <f>VLOOKUP($A701,Szamlaszamok!$A700:F2256,3,FALSE)</f>
      </c>
      <c r="D701" t="str">
        <f>VLOOKUP($A701,Szamlaszamok!$A700:F2256,4,FALSE)</f>
      </c>
      <c r="E701" t="str">
        <f>DATE(YEAR(D701),MONTH(D701),DAY(D701))</f>
      </c>
      <c r="F701" t="str">
        <f>CONCATENATE(C701,E701)</f>
      </c>
      <c r="G701" t="str">
        <f>TIMEVALUE(D701)</f>
      </c>
      <c r="H701" t="str">
        <f>COUNTIF(Szamlaszamok!A:A,A701)</f>
      </c>
      <c r="I701" t="str">
        <f>SUMIFS(Szamlaszamok!E:E,Szamlaszamok!A:A,Szamlaszamok_nonduplicate!A701)</f>
      </c>
    </row>
    <row r="702" spans="1:9">
      <c r="A702" t="s">
        <v>2633</v>
      </c>
      <c r="B702" t="str">
        <f>VLOOKUP($A702,Szamlaszamok!$A701:F2257,2,FALSE)</f>
      </c>
      <c r="C702" t="str">
        <f>VLOOKUP($A702,Szamlaszamok!$A701:F2257,3,FALSE)</f>
      </c>
      <c r="D702" t="str">
        <f>VLOOKUP($A702,Szamlaszamok!$A701:F2257,4,FALSE)</f>
      </c>
      <c r="E702" t="str">
        <f>DATE(YEAR(D702),MONTH(D702),DAY(D702))</f>
      </c>
      <c r="F702" t="str">
        <f>CONCATENATE(C702,E702)</f>
      </c>
      <c r="G702" t="str">
        <f>TIMEVALUE(D702)</f>
      </c>
      <c r="H702" t="str">
        <f>COUNTIF(Szamlaszamok!A:A,A702)</f>
      </c>
      <c r="I702" t="str">
        <f>SUMIFS(Szamlaszamok!E:E,Szamlaszamok!A:A,Szamlaszamok_nonduplicate!A702)</f>
      </c>
    </row>
    <row r="703" spans="1:9">
      <c r="A703" t="s">
        <v>2637</v>
      </c>
      <c r="B703" t="str">
        <f>VLOOKUP($A703,Szamlaszamok!$A702:F2258,2,FALSE)</f>
      </c>
      <c r="C703" t="str">
        <f>VLOOKUP($A703,Szamlaszamok!$A702:F2258,3,FALSE)</f>
      </c>
      <c r="D703" t="str">
        <f>VLOOKUP($A703,Szamlaszamok!$A702:F2258,4,FALSE)</f>
      </c>
      <c r="E703" t="str">
        <f>DATE(YEAR(D703),MONTH(D703),DAY(D703))</f>
      </c>
      <c r="F703" t="str">
        <f>CONCATENATE(C703,E703)</f>
      </c>
      <c r="G703" t="str">
        <f>TIMEVALUE(D703)</f>
      </c>
      <c r="H703" t="str">
        <f>COUNTIF(Szamlaszamok!A:A,A703)</f>
      </c>
      <c r="I703" t="str">
        <f>SUMIFS(Szamlaszamok!E:E,Szamlaszamok!A:A,Szamlaszamok_nonduplicate!A703)</f>
      </c>
    </row>
    <row r="704" spans="1:9">
      <c r="A704" t="s">
        <v>2641</v>
      </c>
      <c r="B704" t="str">
        <f>VLOOKUP($A704,Szamlaszamok!$A703:F2259,2,FALSE)</f>
      </c>
      <c r="C704" t="str">
        <f>VLOOKUP($A704,Szamlaszamok!$A703:F2259,3,FALSE)</f>
      </c>
      <c r="D704" t="str">
        <f>VLOOKUP($A704,Szamlaszamok!$A703:F2259,4,FALSE)</f>
      </c>
      <c r="E704" t="str">
        <f>DATE(YEAR(D704),MONTH(D704),DAY(D704))</f>
      </c>
      <c r="F704" t="str">
        <f>CONCATENATE(C704,E704)</f>
      </c>
      <c r="G704" t="str">
        <f>TIMEVALUE(D704)</f>
      </c>
      <c r="H704" t="str">
        <f>COUNTIF(Szamlaszamok!A:A,A704)</f>
      </c>
      <c r="I704" t="str">
        <f>SUMIFS(Szamlaszamok!E:E,Szamlaszamok!A:A,Szamlaszamok_nonduplicate!A704)</f>
      </c>
    </row>
    <row r="705" spans="1:9">
      <c r="A705" t="s">
        <v>2645</v>
      </c>
      <c r="B705" t="str">
        <f>VLOOKUP($A705,Szamlaszamok!$A704:F2260,2,FALSE)</f>
      </c>
      <c r="C705" t="str">
        <f>VLOOKUP($A705,Szamlaszamok!$A704:F2260,3,FALSE)</f>
      </c>
      <c r="D705" t="str">
        <f>VLOOKUP($A705,Szamlaszamok!$A704:F2260,4,FALSE)</f>
      </c>
      <c r="E705" t="str">
        <f>DATE(YEAR(D705),MONTH(D705),DAY(D705))</f>
      </c>
      <c r="F705" t="str">
        <f>CONCATENATE(C705,E705)</f>
      </c>
      <c r="G705" t="str">
        <f>TIMEVALUE(D705)</f>
      </c>
      <c r="H705" t="str">
        <f>COUNTIF(Szamlaszamok!A:A,A705)</f>
      </c>
      <c r="I705" t="str">
        <f>SUMIFS(Szamlaszamok!E:E,Szamlaszamok!A:A,Szamlaszamok_nonduplicate!A705)</f>
      </c>
    </row>
    <row r="706" spans="1:9">
      <c r="A706" t="s">
        <v>2648</v>
      </c>
      <c r="B706" t="str">
        <f>VLOOKUP($A706,Szamlaszamok!$A705:F2261,2,FALSE)</f>
      </c>
      <c r="C706" t="str">
        <f>VLOOKUP($A706,Szamlaszamok!$A705:F2261,3,FALSE)</f>
      </c>
      <c r="D706" t="str">
        <f>VLOOKUP($A706,Szamlaszamok!$A705:F2261,4,FALSE)</f>
      </c>
      <c r="E706" t="str">
        <f>DATE(YEAR(D706),MONTH(D706),DAY(D706))</f>
      </c>
      <c r="F706" t="str">
        <f>CONCATENATE(C706,E706)</f>
      </c>
      <c r="G706" t="str">
        <f>TIMEVALUE(D706)</f>
      </c>
      <c r="H706" t="str">
        <f>COUNTIF(Szamlaszamok!A:A,A706)</f>
      </c>
      <c r="I706" t="str">
        <f>SUMIFS(Szamlaszamok!E:E,Szamlaszamok!A:A,Szamlaszamok_nonduplicate!A706)</f>
      </c>
    </row>
    <row r="707" spans="1:9">
      <c r="A707" t="s">
        <v>2652</v>
      </c>
      <c r="B707" t="str">
        <f>VLOOKUP($A707,Szamlaszamok!$A706:F2262,2,FALSE)</f>
      </c>
      <c r="C707" t="str">
        <f>VLOOKUP($A707,Szamlaszamok!$A706:F2262,3,FALSE)</f>
      </c>
      <c r="D707" t="str">
        <f>VLOOKUP($A707,Szamlaszamok!$A706:F2262,4,FALSE)</f>
      </c>
      <c r="E707" t="str">
        <f>DATE(YEAR(D707),MONTH(D707),DAY(D707))</f>
      </c>
      <c r="F707" t="str">
        <f>CONCATENATE(C707,E707)</f>
      </c>
      <c r="G707" t="str">
        <f>TIMEVALUE(D707)</f>
      </c>
      <c r="H707" t="str">
        <f>COUNTIF(Szamlaszamok!A:A,A707)</f>
      </c>
      <c r="I707" t="str">
        <f>SUMIFS(Szamlaszamok!E:E,Szamlaszamok!A:A,Szamlaszamok_nonduplicate!A707)</f>
      </c>
    </row>
    <row r="708" spans="1:9">
      <c r="A708" t="s">
        <v>2656</v>
      </c>
      <c r="B708" t="str">
        <f>VLOOKUP($A708,Szamlaszamok!$A707:F2263,2,FALSE)</f>
      </c>
      <c r="C708" t="str">
        <f>VLOOKUP($A708,Szamlaszamok!$A707:F2263,3,FALSE)</f>
      </c>
      <c r="D708" t="str">
        <f>VLOOKUP($A708,Szamlaszamok!$A707:F2263,4,FALSE)</f>
      </c>
      <c r="E708" t="str">
        <f>DATE(YEAR(D708),MONTH(D708),DAY(D708))</f>
      </c>
      <c r="F708" t="str">
        <f>CONCATENATE(C708,E708)</f>
      </c>
      <c r="G708" t="str">
        <f>TIMEVALUE(D708)</f>
      </c>
      <c r="H708" t="str">
        <f>COUNTIF(Szamlaszamok!A:A,A708)</f>
      </c>
      <c r="I708" t="str">
        <f>SUMIFS(Szamlaszamok!E:E,Szamlaszamok!A:A,Szamlaszamok_nonduplicate!A708)</f>
      </c>
    </row>
    <row r="709" spans="1:9">
      <c r="A709" t="s">
        <v>2661</v>
      </c>
      <c r="B709" t="str">
        <f>VLOOKUP($A709,Szamlaszamok!$A708:F2264,2,FALSE)</f>
      </c>
      <c r="C709" t="str">
        <f>VLOOKUP($A709,Szamlaszamok!$A708:F2264,3,FALSE)</f>
      </c>
      <c r="D709" t="str">
        <f>VLOOKUP($A709,Szamlaszamok!$A708:F2264,4,FALSE)</f>
      </c>
      <c r="E709" t="str">
        <f>DATE(YEAR(D709),MONTH(D709),DAY(D709))</f>
      </c>
      <c r="F709" t="str">
        <f>CONCATENATE(C709,E709)</f>
      </c>
      <c r="G709" t="str">
        <f>TIMEVALUE(D709)</f>
      </c>
      <c r="H709" t="str">
        <f>COUNTIF(Szamlaszamok!A:A,A709)</f>
      </c>
      <c r="I709" t="str">
        <f>SUMIFS(Szamlaszamok!E:E,Szamlaszamok!A:A,Szamlaszamok_nonduplicate!A709)</f>
      </c>
    </row>
    <row r="710" spans="1:9">
      <c r="A710" t="s">
        <v>2665</v>
      </c>
      <c r="B710" t="str">
        <f>VLOOKUP($A710,Szamlaszamok!$A709:F2265,2,FALSE)</f>
      </c>
      <c r="C710" t="str">
        <f>VLOOKUP($A710,Szamlaszamok!$A709:F2265,3,FALSE)</f>
      </c>
      <c r="D710" t="str">
        <f>VLOOKUP($A710,Szamlaszamok!$A709:F2265,4,FALSE)</f>
      </c>
      <c r="E710" t="str">
        <f>DATE(YEAR(D710),MONTH(D710),DAY(D710))</f>
      </c>
      <c r="F710" t="str">
        <f>CONCATENATE(C710,E710)</f>
      </c>
      <c r="G710" t="str">
        <f>TIMEVALUE(D710)</f>
      </c>
      <c r="H710" t="str">
        <f>COUNTIF(Szamlaszamok!A:A,A710)</f>
      </c>
      <c r="I710" t="str">
        <f>SUMIFS(Szamlaszamok!E:E,Szamlaszamok!A:A,Szamlaszamok_nonduplicate!A710)</f>
      </c>
    </row>
    <row r="711" spans="1:9">
      <c r="A711" t="s">
        <v>2669</v>
      </c>
      <c r="B711" t="str">
        <f>VLOOKUP($A711,Szamlaszamok!$A710:F2266,2,FALSE)</f>
      </c>
      <c r="C711" t="str">
        <f>VLOOKUP($A711,Szamlaszamok!$A710:F2266,3,FALSE)</f>
      </c>
      <c r="D711" t="str">
        <f>VLOOKUP($A711,Szamlaszamok!$A710:F2266,4,FALSE)</f>
      </c>
      <c r="E711" t="str">
        <f>DATE(YEAR(D711),MONTH(D711),DAY(D711))</f>
      </c>
      <c r="F711" t="str">
        <f>CONCATENATE(C711,E711)</f>
      </c>
      <c r="G711" t="str">
        <f>TIMEVALUE(D711)</f>
      </c>
      <c r="H711" t="str">
        <f>COUNTIF(Szamlaszamok!A:A,A711)</f>
      </c>
      <c r="I711" t="str">
        <f>SUMIFS(Szamlaszamok!E:E,Szamlaszamok!A:A,Szamlaszamok_nonduplicate!A711)</f>
      </c>
    </row>
    <row r="712" spans="1:9">
      <c r="A712" t="s">
        <v>2673</v>
      </c>
      <c r="B712" t="str">
        <f>VLOOKUP($A712,Szamlaszamok!$A711:F2267,2,FALSE)</f>
      </c>
      <c r="C712" t="str">
        <f>VLOOKUP($A712,Szamlaszamok!$A711:F2267,3,FALSE)</f>
      </c>
      <c r="D712" t="str">
        <f>VLOOKUP($A712,Szamlaszamok!$A711:F2267,4,FALSE)</f>
      </c>
      <c r="E712" t="str">
        <f>DATE(YEAR(D712),MONTH(D712),DAY(D712))</f>
      </c>
      <c r="F712" t="str">
        <f>CONCATENATE(C712,E712)</f>
      </c>
      <c r="G712" t="str">
        <f>TIMEVALUE(D712)</f>
      </c>
      <c r="H712" t="str">
        <f>COUNTIF(Szamlaszamok!A:A,A712)</f>
      </c>
      <c r="I712" t="str">
        <f>SUMIFS(Szamlaszamok!E:E,Szamlaszamok!A:A,Szamlaszamok_nonduplicate!A712)</f>
      </c>
    </row>
    <row r="713" spans="1:9">
      <c r="A713" t="s">
        <v>2677</v>
      </c>
      <c r="B713" t="str">
        <f>VLOOKUP($A713,Szamlaszamok!$A712:F2268,2,FALSE)</f>
      </c>
      <c r="C713" t="str">
        <f>VLOOKUP($A713,Szamlaszamok!$A712:F2268,3,FALSE)</f>
      </c>
      <c r="D713" t="str">
        <f>VLOOKUP($A713,Szamlaszamok!$A712:F2268,4,FALSE)</f>
      </c>
      <c r="E713" t="str">
        <f>DATE(YEAR(D713),MONTH(D713),DAY(D713))</f>
      </c>
      <c r="F713" t="str">
        <f>CONCATENATE(C713,E713)</f>
      </c>
      <c r="G713" t="str">
        <f>TIMEVALUE(D713)</f>
      </c>
      <c r="H713" t="str">
        <f>COUNTIF(Szamlaszamok!A:A,A713)</f>
      </c>
      <c r="I713" t="str">
        <f>SUMIFS(Szamlaszamok!E:E,Szamlaszamok!A:A,Szamlaszamok_nonduplicate!A713)</f>
      </c>
    </row>
    <row r="714" spans="1:9">
      <c r="A714" t="s">
        <v>2681</v>
      </c>
      <c r="B714" t="str">
        <f>VLOOKUP($A714,Szamlaszamok!$A713:F2269,2,FALSE)</f>
      </c>
      <c r="C714" t="str">
        <f>VLOOKUP($A714,Szamlaszamok!$A713:F2269,3,FALSE)</f>
      </c>
      <c r="D714" t="str">
        <f>VLOOKUP($A714,Szamlaszamok!$A713:F2269,4,FALSE)</f>
      </c>
      <c r="E714" t="str">
        <f>DATE(YEAR(D714),MONTH(D714),DAY(D714))</f>
      </c>
      <c r="F714" t="str">
        <f>CONCATENATE(C714,E714)</f>
      </c>
      <c r="G714" t="str">
        <f>TIMEVALUE(D714)</f>
      </c>
      <c r="H714" t="str">
        <f>COUNTIF(Szamlaszamok!A:A,A714)</f>
      </c>
      <c r="I714" t="str">
        <f>SUMIFS(Szamlaszamok!E:E,Szamlaszamok!A:A,Szamlaszamok_nonduplicate!A714)</f>
      </c>
    </row>
    <row r="715" spans="1:9">
      <c r="A715" t="s">
        <v>2685</v>
      </c>
      <c r="B715" t="str">
        <f>VLOOKUP($A715,Szamlaszamok!$A714:F2270,2,FALSE)</f>
      </c>
      <c r="C715" t="str">
        <f>VLOOKUP($A715,Szamlaszamok!$A714:F2270,3,FALSE)</f>
      </c>
      <c r="D715" t="str">
        <f>VLOOKUP($A715,Szamlaszamok!$A714:F2270,4,FALSE)</f>
      </c>
      <c r="E715" t="str">
        <f>DATE(YEAR(D715),MONTH(D715),DAY(D715))</f>
      </c>
      <c r="F715" t="str">
        <f>CONCATENATE(C715,E715)</f>
      </c>
      <c r="G715" t="str">
        <f>TIMEVALUE(D715)</f>
      </c>
      <c r="H715" t="str">
        <f>COUNTIF(Szamlaszamok!A:A,A715)</f>
      </c>
      <c r="I715" t="str">
        <f>SUMIFS(Szamlaszamok!E:E,Szamlaszamok!A:A,Szamlaszamok_nonduplicate!A715)</f>
      </c>
    </row>
    <row r="716" spans="1:9">
      <c r="A716" t="s">
        <v>2689</v>
      </c>
      <c r="B716" t="str">
        <f>VLOOKUP($A716,Szamlaszamok!$A715:F2271,2,FALSE)</f>
      </c>
      <c r="C716" t="str">
        <f>VLOOKUP($A716,Szamlaszamok!$A715:F2271,3,FALSE)</f>
      </c>
      <c r="D716" t="str">
        <f>VLOOKUP($A716,Szamlaszamok!$A715:F2271,4,FALSE)</f>
      </c>
      <c r="E716" t="str">
        <f>DATE(YEAR(D716),MONTH(D716),DAY(D716))</f>
      </c>
      <c r="F716" t="str">
        <f>CONCATENATE(C716,E716)</f>
      </c>
      <c r="G716" t="str">
        <f>TIMEVALUE(D716)</f>
      </c>
      <c r="H716" t="str">
        <f>COUNTIF(Szamlaszamok!A:A,A716)</f>
      </c>
      <c r="I716" t="str">
        <f>SUMIFS(Szamlaszamok!E:E,Szamlaszamok!A:A,Szamlaszamok_nonduplicate!A716)</f>
      </c>
    </row>
    <row r="717" spans="1:9">
      <c r="A717" t="s">
        <v>2692</v>
      </c>
      <c r="B717" t="str">
        <f>VLOOKUP($A717,Szamlaszamok!$A716:F2272,2,FALSE)</f>
      </c>
      <c r="C717" t="str">
        <f>VLOOKUP($A717,Szamlaszamok!$A716:F2272,3,FALSE)</f>
      </c>
      <c r="D717" t="str">
        <f>VLOOKUP($A717,Szamlaszamok!$A716:F2272,4,FALSE)</f>
      </c>
      <c r="E717" t="str">
        <f>DATE(YEAR(D717),MONTH(D717),DAY(D717))</f>
      </c>
      <c r="F717" t="str">
        <f>CONCATENATE(C717,E717)</f>
      </c>
      <c r="G717" t="str">
        <f>TIMEVALUE(D717)</f>
      </c>
      <c r="H717" t="str">
        <f>COUNTIF(Szamlaszamok!A:A,A717)</f>
      </c>
      <c r="I717" t="str">
        <f>SUMIFS(Szamlaszamok!E:E,Szamlaszamok!A:A,Szamlaszamok_nonduplicate!A717)</f>
      </c>
    </row>
    <row r="718" spans="1:9">
      <c r="A718" t="s">
        <v>2696</v>
      </c>
      <c r="B718" t="str">
        <f>VLOOKUP($A718,Szamlaszamok!$A717:F2273,2,FALSE)</f>
      </c>
      <c r="C718" t="str">
        <f>VLOOKUP($A718,Szamlaszamok!$A717:F2273,3,FALSE)</f>
      </c>
      <c r="D718" t="str">
        <f>VLOOKUP($A718,Szamlaszamok!$A717:F2273,4,FALSE)</f>
      </c>
      <c r="E718" t="str">
        <f>DATE(YEAR(D718),MONTH(D718),DAY(D718))</f>
      </c>
      <c r="F718" t="str">
        <f>CONCATENATE(C718,E718)</f>
      </c>
      <c r="G718" t="str">
        <f>TIMEVALUE(D718)</f>
      </c>
      <c r="H718" t="str">
        <f>COUNTIF(Szamlaszamok!A:A,A718)</f>
      </c>
      <c r="I718" t="str">
        <f>SUMIFS(Szamlaszamok!E:E,Szamlaszamok!A:A,Szamlaszamok_nonduplicate!A718)</f>
      </c>
    </row>
    <row r="719" spans="1:9">
      <c r="A719" t="s">
        <v>2700</v>
      </c>
      <c r="B719" t="str">
        <f>VLOOKUP($A719,Szamlaszamok!$A718:F2274,2,FALSE)</f>
      </c>
      <c r="C719" t="str">
        <f>VLOOKUP($A719,Szamlaszamok!$A718:F2274,3,FALSE)</f>
      </c>
      <c r="D719" t="str">
        <f>VLOOKUP($A719,Szamlaszamok!$A718:F2274,4,FALSE)</f>
      </c>
      <c r="E719" t="str">
        <f>DATE(YEAR(D719),MONTH(D719),DAY(D719))</f>
      </c>
      <c r="F719" t="str">
        <f>CONCATENATE(C719,E719)</f>
      </c>
      <c r="G719" t="str">
        <f>TIMEVALUE(D719)</f>
      </c>
      <c r="H719" t="str">
        <f>COUNTIF(Szamlaszamok!A:A,A719)</f>
      </c>
      <c r="I719" t="str">
        <f>SUMIFS(Szamlaszamok!E:E,Szamlaszamok!A:A,Szamlaszamok_nonduplicate!A719)</f>
      </c>
    </row>
    <row r="720" spans="1:9">
      <c r="A720" t="s">
        <v>2704</v>
      </c>
      <c r="B720" t="str">
        <f>VLOOKUP($A720,Szamlaszamok!$A719:F2275,2,FALSE)</f>
      </c>
      <c r="C720" t="str">
        <f>VLOOKUP($A720,Szamlaszamok!$A719:F2275,3,FALSE)</f>
      </c>
      <c r="D720" t="str">
        <f>VLOOKUP($A720,Szamlaszamok!$A719:F2275,4,FALSE)</f>
      </c>
      <c r="E720" t="str">
        <f>DATE(YEAR(D720),MONTH(D720),DAY(D720))</f>
      </c>
      <c r="F720" t="str">
        <f>CONCATENATE(C720,E720)</f>
      </c>
      <c r="G720" t="str">
        <f>TIMEVALUE(D720)</f>
      </c>
      <c r="H720" t="str">
        <f>COUNTIF(Szamlaszamok!A:A,A720)</f>
      </c>
      <c r="I720" t="str">
        <f>SUMIFS(Szamlaszamok!E:E,Szamlaszamok!A:A,Szamlaszamok_nonduplicate!A720)</f>
      </c>
    </row>
    <row r="721" spans="1:9">
      <c r="A721" t="s">
        <v>2708</v>
      </c>
      <c r="B721" t="str">
        <f>VLOOKUP($A721,Szamlaszamok!$A720:F2276,2,FALSE)</f>
      </c>
      <c r="C721" t="str">
        <f>VLOOKUP($A721,Szamlaszamok!$A720:F2276,3,FALSE)</f>
      </c>
      <c r="D721" t="str">
        <f>VLOOKUP($A721,Szamlaszamok!$A720:F2276,4,FALSE)</f>
      </c>
      <c r="E721" t="str">
        <f>DATE(YEAR(D721),MONTH(D721),DAY(D721))</f>
      </c>
      <c r="F721" t="str">
        <f>CONCATENATE(C721,E721)</f>
      </c>
      <c r="G721" t="str">
        <f>TIMEVALUE(D721)</f>
      </c>
      <c r="H721" t="str">
        <f>COUNTIF(Szamlaszamok!A:A,A721)</f>
      </c>
      <c r="I721" t="str">
        <f>SUMIFS(Szamlaszamok!E:E,Szamlaszamok!A:A,Szamlaszamok_nonduplicate!A721)</f>
      </c>
    </row>
    <row r="722" spans="1:9">
      <c r="A722" t="s">
        <v>2712</v>
      </c>
      <c r="B722" t="str">
        <f>VLOOKUP($A722,Szamlaszamok!$A721:F2277,2,FALSE)</f>
      </c>
      <c r="C722" t="str">
        <f>VLOOKUP($A722,Szamlaszamok!$A721:F2277,3,FALSE)</f>
      </c>
      <c r="D722" t="str">
        <f>VLOOKUP($A722,Szamlaszamok!$A721:F2277,4,FALSE)</f>
      </c>
      <c r="E722" t="str">
        <f>DATE(YEAR(D722),MONTH(D722),DAY(D722))</f>
      </c>
      <c r="F722" t="str">
        <f>CONCATENATE(C722,E722)</f>
      </c>
      <c r="G722" t="str">
        <f>TIMEVALUE(D722)</f>
      </c>
      <c r="H722" t="str">
        <f>COUNTIF(Szamlaszamok!A:A,A722)</f>
      </c>
      <c r="I722" t="str">
        <f>SUMIFS(Szamlaszamok!E:E,Szamlaszamok!A:A,Szamlaszamok_nonduplicate!A722)</f>
      </c>
    </row>
    <row r="723" spans="1:9">
      <c r="A723" t="s">
        <v>2716</v>
      </c>
      <c r="B723" t="str">
        <f>VLOOKUP($A723,Szamlaszamok!$A722:F2278,2,FALSE)</f>
      </c>
      <c r="C723" t="str">
        <f>VLOOKUP($A723,Szamlaszamok!$A722:F2278,3,FALSE)</f>
      </c>
      <c r="D723" t="str">
        <f>VLOOKUP($A723,Szamlaszamok!$A722:F2278,4,FALSE)</f>
      </c>
      <c r="E723" t="str">
        <f>DATE(YEAR(D723),MONTH(D723),DAY(D723))</f>
      </c>
      <c r="F723" t="str">
        <f>CONCATENATE(C723,E723)</f>
      </c>
      <c r="G723" t="str">
        <f>TIMEVALUE(D723)</f>
      </c>
      <c r="H723" t="str">
        <f>COUNTIF(Szamlaszamok!A:A,A723)</f>
      </c>
      <c r="I723" t="str">
        <f>SUMIFS(Szamlaszamok!E:E,Szamlaszamok!A:A,Szamlaszamok_nonduplicate!A723)</f>
      </c>
    </row>
    <row r="724" spans="1:9">
      <c r="A724" t="s">
        <v>2720</v>
      </c>
      <c r="B724" t="str">
        <f>VLOOKUP($A724,Szamlaszamok!$A723:F2279,2,FALSE)</f>
      </c>
      <c r="C724" t="str">
        <f>VLOOKUP($A724,Szamlaszamok!$A723:F2279,3,FALSE)</f>
      </c>
      <c r="D724" t="str">
        <f>VLOOKUP($A724,Szamlaszamok!$A723:F2279,4,FALSE)</f>
      </c>
      <c r="E724" t="str">
        <f>DATE(YEAR(D724),MONTH(D724),DAY(D724))</f>
      </c>
      <c r="F724" t="str">
        <f>CONCATENATE(C724,E724)</f>
      </c>
      <c r="G724" t="str">
        <f>TIMEVALUE(D724)</f>
      </c>
      <c r="H724" t="str">
        <f>COUNTIF(Szamlaszamok!A:A,A724)</f>
      </c>
      <c r="I724" t="str">
        <f>SUMIFS(Szamlaszamok!E:E,Szamlaszamok!A:A,Szamlaszamok_nonduplicate!A724)</f>
      </c>
    </row>
    <row r="725" spans="1:9">
      <c r="A725" t="s">
        <v>2724</v>
      </c>
      <c r="B725" t="str">
        <f>VLOOKUP($A725,Szamlaszamok!$A724:F2280,2,FALSE)</f>
      </c>
      <c r="C725" t="str">
        <f>VLOOKUP($A725,Szamlaszamok!$A724:F2280,3,FALSE)</f>
      </c>
      <c r="D725" t="str">
        <f>VLOOKUP($A725,Szamlaszamok!$A724:F2280,4,FALSE)</f>
      </c>
      <c r="E725" t="str">
        <f>DATE(YEAR(D725),MONTH(D725),DAY(D725))</f>
      </c>
      <c r="F725" t="str">
        <f>CONCATENATE(C725,E725)</f>
      </c>
      <c r="G725" t="str">
        <f>TIMEVALUE(D725)</f>
      </c>
      <c r="H725" t="str">
        <f>COUNTIF(Szamlaszamok!A:A,A725)</f>
      </c>
      <c r="I725" t="str">
        <f>SUMIFS(Szamlaszamok!E:E,Szamlaszamok!A:A,Szamlaszamok_nonduplicate!A725)</f>
      </c>
    </row>
    <row r="726" spans="1:9">
      <c r="A726" t="s">
        <v>2728</v>
      </c>
      <c r="B726" t="str">
        <f>VLOOKUP($A726,Szamlaszamok!$A725:F2281,2,FALSE)</f>
      </c>
      <c r="C726" t="str">
        <f>VLOOKUP($A726,Szamlaszamok!$A725:F2281,3,FALSE)</f>
      </c>
      <c r="D726" t="str">
        <f>VLOOKUP($A726,Szamlaszamok!$A725:F2281,4,FALSE)</f>
      </c>
      <c r="E726" t="str">
        <f>DATE(YEAR(D726),MONTH(D726),DAY(D726))</f>
      </c>
      <c r="F726" t="str">
        <f>CONCATENATE(C726,E726)</f>
      </c>
      <c r="G726" t="str">
        <f>TIMEVALUE(D726)</f>
      </c>
      <c r="H726" t="str">
        <f>COUNTIF(Szamlaszamok!A:A,A726)</f>
      </c>
      <c r="I726" t="str">
        <f>SUMIFS(Szamlaszamok!E:E,Szamlaszamok!A:A,Szamlaszamok_nonduplicate!A726)</f>
      </c>
    </row>
    <row r="727" spans="1:9">
      <c r="A727" t="s">
        <v>2732</v>
      </c>
      <c r="B727" t="str">
        <f>VLOOKUP($A727,Szamlaszamok!$A726:F2282,2,FALSE)</f>
      </c>
      <c r="C727" t="str">
        <f>VLOOKUP($A727,Szamlaszamok!$A726:F2282,3,FALSE)</f>
      </c>
      <c r="D727" t="str">
        <f>VLOOKUP($A727,Szamlaszamok!$A726:F2282,4,FALSE)</f>
      </c>
      <c r="E727" t="str">
        <f>DATE(YEAR(D727),MONTH(D727),DAY(D727))</f>
      </c>
      <c r="F727" t="str">
        <f>CONCATENATE(C727,E727)</f>
      </c>
      <c r="G727" t="str">
        <f>TIMEVALUE(D727)</f>
      </c>
      <c r="H727" t="str">
        <f>COUNTIF(Szamlaszamok!A:A,A727)</f>
      </c>
      <c r="I727" t="str">
        <f>SUMIFS(Szamlaszamok!E:E,Szamlaszamok!A:A,Szamlaszamok_nonduplicate!A727)</f>
      </c>
    </row>
    <row r="728" spans="1:9">
      <c r="A728" t="s">
        <v>2736</v>
      </c>
      <c r="B728" t="str">
        <f>VLOOKUP($A728,Szamlaszamok!$A727:F2283,2,FALSE)</f>
      </c>
      <c r="C728" t="str">
        <f>VLOOKUP($A728,Szamlaszamok!$A727:F2283,3,FALSE)</f>
      </c>
      <c r="D728" t="str">
        <f>VLOOKUP($A728,Szamlaszamok!$A727:F2283,4,FALSE)</f>
      </c>
      <c r="E728" t="str">
        <f>DATE(YEAR(D728),MONTH(D728),DAY(D728))</f>
      </c>
      <c r="F728" t="str">
        <f>CONCATENATE(C728,E728)</f>
      </c>
      <c r="G728" t="str">
        <f>TIMEVALUE(D728)</f>
      </c>
      <c r="H728" t="str">
        <f>COUNTIF(Szamlaszamok!A:A,A728)</f>
      </c>
      <c r="I728" t="str">
        <f>SUMIFS(Szamlaszamok!E:E,Szamlaszamok!A:A,Szamlaszamok_nonduplicate!A728)</f>
      </c>
    </row>
    <row r="729" spans="1:9">
      <c r="A729" t="s">
        <v>2740</v>
      </c>
      <c r="B729" t="str">
        <f>VLOOKUP($A729,Szamlaszamok!$A728:F2284,2,FALSE)</f>
      </c>
      <c r="C729" t="str">
        <f>VLOOKUP($A729,Szamlaszamok!$A728:F2284,3,FALSE)</f>
      </c>
      <c r="D729" t="str">
        <f>VLOOKUP($A729,Szamlaszamok!$A728:F2284,4,FALSE)</f>
      </c>
      <c r="E729" t="str">
        <f>DATE(YEAR(D729),MONTH(D729),DAY(D729))</f>
      </c>
      <c r="F729" t="str">
        <f>CONCATENATE(C729,E729)</f>
      </c>
      <c r="G729" t="str">
        <f>TIMEVALUE(D729)</f>
      </c>
      <c r="H729" t="str">
        <f>COUNTIF(Szamlaszamok!A:A,A729)</f>
      </c>
      <c r="I729" t="str">
        <f>SUMIFS(Szamlaszamok!E:E,Szamlaszamok!A:A,Szamlaszamok_nonduplicate!A729)</f>
      </c>
    </row>
    <row r="730" spans="1:9">
      <c r="A730" t="s">
        <v>2744</v>
      </c>
      <c r="B730" t="str">
        <f>VLOOKUP($A730,Szamlaszamok!$A729:F2285,2,FALSE)</f>
      </c>
      <c r="C730" t="str">
        <f>VLOOKUP($A730,Szamlaszamok!$A729:F2285,3,FALSE)</f>
      </c>
      <c r="D730" t="str">
        <f>VLOOKUP($A730,Szamlaszamok!$A729:F2285,4,FALSE)</f>
      </c>
      <c r="E730" t="str">
        <f>DATE(YEAR(D730),MONTH(D730),DAY(D730))</f>
      </c>
      <c r="F730" t="str">
        <f>CONCATENATE(C730,E730)</f>
      </c>
      <c r="G730" t="str">
        <f>TIMEVALUE(D730)</f>
      </c>
      <c r="H730" t="str">
        <f>COUNTIF(Szamlaszamok!A:A,A730)</f>
      </c>
      <c r="I730" t="str">
        <f>SUMIFS(Szamlaszamok!E:E,Szamlaszamok!A:A,Szamlaszamok_nonduplicate!A730)</f>
      </c>
    </row>
    <row r="731" spans="1:9">
      <c r="A731" t="s">
        <v>2747</v>
      </c>
      <c r="B731" t="str">
        <f>VLOOKUP($A731,Szamlaszamok!$A730:F2286,2,FALSE)</f>
      </c>
      <c r="C731" t="str">
        <f>VLOOKUP($A731,Szamlaszamok!$A730:F2286,3,FALSE)</f>
      </c>
      <c r="D731" t="str">
        <f>VLOOKUP($A731,Szamlaszamok!$A730:F2286,4,FALSE)</f>
      </c>
      <c r="E731" t="str">
        <f>DATE(YEAR(D731),MONTH(D731),DAY(D731))</f>
      </c>
      <c r="F731" t="str">
        <f>CONCATENATE(C731,E731)</f>
      </c>
      <c r="G731" t="str">
        <f>TIMEVALUE(D731)</f>
      </c>
      <c r="H731" t="str">
        <f>COUNTIF(Szamlaszamok!A:A,A731)</f>
      </c>
      <c r="I731" t="str">
        <f>SUMIFS(Szamlaszamok!E:E,Szamlaszamok!A:A,Szamlaszamok_nonduplicate!A731)</f>
      </c>
    </row>
    <row r="732" spans="1:9">
      <c r="A732" t="s">
        <v>2751</v>
      </c>
      <c r="B732" t="str">
        <f>VLOOKUP($A732,Szamlaszamok!$A731:F2287,2,FALSE)</f>
      </c>
      <c r="C732" t="str">
        <f>VLOOKUP($A732,Szamlaszamok!$A731:F2287,3,FALSE)</f>
      </c>
      <c r="D732" t="str">
        <f>VLOOKUP($A732,Szamlaszamok!$A731:F2287,4,FALSE)</f>
      </c>
      <c r="E732" t="str">
        <f>DATE(YEAR(D732),MONTH(D732),DAY(D732))</f>
      </c>
      <c r="F732" t="str">
        <f>CONCATENATE(C732,E732)</f>
      </c>
      <c r="G732" t="str">
        <f>TIMEVALUE(D732)</f>
      </c>
      <c r="H732" t="str">
        <f>COUNTIF(Szamlaszamok!A:A,A732)</f>
      </c>
      <c r="I732" t="str">
        <f>SUMIFS(Szamlaszamok!E:E,Szamlaszamok!A:A,Szamlaszamok_nonduplicate!A732)</f>
      </c>
    </row>
    <row r="733" spans="1:9">
      <c r="A733" t="s">
        <v>2755</v>
      </c>
      <c r="B733" t="str">
        <f>VLOOKUP($A733,Szamlaszamok!$A732:F2288,2,FALSE)</f>
      </c>
      <c r="C733" t="str">
        <f>VLOOKUP($A733,Szamlaszamok!$A732:F2288,3,FALSE)</f>
      </c>
      <c r="D733" t="str">
        <f>VLOOKUP($A733,Szamlaszamok!$A732:F2288,4,FALSE)</f>
      </c>
      <c r="E733" t="str">
        <f>DATE(YEAR(D733),MONTH(D733),DAY(D733))</f>
      </c>
      <c r="F733" t="str">
        <f>CONCATENATE(C733,E733)</f>
      </c>
      <c r="G733" t="str">
        <f>TIMEVALUE(D733)</f>
      </c>
      <c r="H733" t="str">
        <f>COUNTIF(Szamlaszamok!A:A,A733)</f>
      </c>
      <c r="I733" t="str">
        <f>SUMIFS(Szamlaszamok!E:E,Szamlaszamok!A:A,Szamlaszamok_nonduplicate!A733)</f>
      </c>
    </row>
    <row r="734" spans="1:9">
      <c r="A734" t="s">
        <v>2759</v>
      </c>
      <c r="B734" t="str">
        <f>VLOOKUP($A734,Szamlaszamok!$A733:F2289,2,FALSE)</f>
      </c>
      <c r="C734" t="str">
        <f>VLOOKUP($A734,Szamlaszamok!$A733:F2289,3,FALSE)</f>
      </c>
      <c r="D734" t="str">
        <f>VLOOKUP($A734,Szamlaszamok!$A733:F2289,4,FALSE)</f>
      </c>
      <c r="E734" t="str">
        <f>DATE(YEAR(D734),MONTH(D734),DAY(D734))</f>
      </c>
      <c r="F734" t="str">
        <f>CONCATENATE(C734,E734)</f>
      </c>
      <c r="G734" t="str">
        <f>TIMEVALUE(D734)</f>
      </c>
      <c r="H734" t="str">
        <f>COUNTIF(Szamlaszamok!A:A,A734)</f>
      </c>
      <c r="I734" t="str">
        <f>SUMIFS(Szamlaszamok!E:E,Szamlaszamok!A:A,Szamlaszamok_nonduplicate!A734)</f>
      </c>
    </row>
    <row r="735" spans="1:9">
      <c r="A735" t="s">
        <v>2764</v>
      </c>
      <c r="B735" t="str">
        <f>VLOOKUP($A735,Szamlaszamok!$A734:F2290,2,FALSE)</f>
      </c>
      <c r="C735" t="str">
        <f>VLOOKUP($A735,Szamlaszamok!$A734:F2290,3,FALSE)</f>
      </c>
      <c r="D735" t="str">
        <f>VLOOKUP($A735,Szamlaszamok!$A734:F2290,4,FALSE)</f>
      </c>
      <c r="E735" t="str">
        <f>DATE(YEAR(D735),MONTH(D735),DAY(D735))</f>
      </c>
      <c r="F735" t="str">
        <f>CONCATENATE(C735,E735)</f>
      </c>
      <c r="G735" t="str">
        <f>TIMEVALUE(D735)</f>
      </c>
      <c r="H735" t="str">
        <f>COUNTIF(Szamlaszamok!A:A,A735)</f>
      </c>
      <c r="I735" t="str">
        <f>SUMIFS(Szamlaszamok!E:E,Szamlaszamok!A:A,Szamlaszamok_nonduplicate!A735)</f>
      </c>
    </row>
    <row r="736" spans="1:9">
      <c r="A736" t="s">
        <v>2769</v>
      </c>
      <c r="B736" t="str">
        <f>VLOOKUP($A736,Szamlaszamok!$A735:F2291,2,FALSE)</f>
      </c>
      <c r="C736" t="str">
        <f>VLOOKUP($A736,Szamlaszamok!$A735:F2291,3,FALSE)</f>
      </c>
      <c r="D736" t="str">
        <f>VLOOKUP($A736,Szamlaszamok!$A735:F2291,4,FALSE)</f>
      </c>
      <c r="E736" t="str">
        <f>DATE(YEAR(D736),MONTH(D736),DAY(D736))</f>
      </c>
      <c r="F736" t="str">
        <f>CONCATENATE(C736,E736)</f>
      </c>
      <c r="G736" t="str">
        <f>TIMEVALUE(D736)</f>
      </c>
      <c r="H736" t="str">
        <f>COUNTIF(Szamlaszamok!A:A,A736)</f>
      </c>
      <c r="I736" t="str">
        <f>SUMIFS(Szamlaszamok!E:E,Szamlaszamok!A:A,Szamlaszamok_nonduplicate!A736)</f>
      </c>
    </row>
    <row r="737" spans="1:9">
      <c r="A737" t="s">
        <v>2774</v>
      </c>
      <c r="B737" t="str">
        <f>VLOOKUP($A737,Szamlaszamok!$A736:F2292,2,FALSE)</f>
      </c>
      <c r="C737" t="str">
        <f>VLOOKUP($A737,Szamlaszamok!$A736:F2292,3,FALSE)</f>
      </c>
      <c r="D737" t="str">
        <f>VLOOKUP($A737,Szamlaszamok!$A736:F2292,4,FALSE)</f>
      </c>
      <c r="E737" t="str">
        <f>DATE(YEAR(D737),MONTH(D737),DAY(D737))</f>
      </c>
      <c r="F737" t="str">
        <f>CONCATENATE(C737,E737)</f>
      </c>
      <c r="G737" t="str">
        <f>TIMEVALUE(D737)</f>
      </c>
      <c r="H737" t="str">
        <f>COUNTIF(Szamlaszamok!A:A,A737)</f>
      </c>
      <c r="I737" t="str">
        <f>SUMIFS(Szamlaszamok!E:E,Szamlaszamok!A:A,Szamlaszamok_nonduplicate!A737)</f>
      </c>
    </row>
    <row r="738" spans="1:9">
      <c r="A738" t="s">
        <v>2777</v>
      </c>
      <c r="B738" t="str">
        <f>VLOOKUP($A738,Szamlaszamok!$A737:F2293,2,FALSE)</f>
      </c>
      <c r="C738" t="str">
        <f>VLOOKUP($A738,Szamlaszamok!$A737:F2293,3,FALSE)</f>
      </c>
      <c r="D738" t="str">
        <f>VLOOKUP($A738,Szamlaszamok!$A737:F2293,4,FALSE)</f>
      </c>
      <c r="E738" t="str">
        <f>DATE(YEAR(D738),MONTH(D738),DAY(D738))</f>
      </c>
      <c r="F738" t="str">
        <f>CONCATENATE(C738,E738)</f>
      </c>
      <c r="G738" t="str">
        <f>TIMEVALUE(D738)</f>
      </c>
      <c r="H738" t="str">
        <f>COUNTIF(Szamlaszamok!A:A,A738)</f>
      </c>
      <c r="I738" t="str">
        <f>SUMIFS(Szamlaszamok!E:E,Szamlaszamok!A:A,Szamlaszamok_nonduplicate!A738)</f>
      </c>
    </row>
    <row r="739" spans="1:9">
      <c r="A739" t="s">
        <v>2781</v>
      </c>
      <c r="B739" t="str">
        <f>VLOOKUP($A739,Szamlaszamok!$A738:F2294,2,FALSE)</f>
      </c>
      <c r="C739" t="str">
        <f>VLOOKUP($A739,Szamlaszamok!$A738:F2294,3,FALSE)</f>
      </c>
      <c r="D739" t="str">
        <f>VLOOKUP($A739,Szamlaszamok!$A738:F2294,4,FALSE)</f>
      </c>
      <c r="E739" t="str">
        <f>DATE(YEAR(D739),MONTH(D739),DAY(D739))</f>
      </c>
      <c r="F739" t="str">
        <f>CONCATENATE(C739,E739)</f>
      </c>
      <c r="G739" t="str">
        <f>TIMEVALUE(D739)</f>
      </c>
      <c r="H739" t="str">
        <f>COUNTIF(Szamlaszamok!A:A,A739)</f>
      </c>
      <c r="I739" t="str">
        <f>SUMIFS(Szamlaszamok!E:E,Szamlaszamok!A:A,Szamlaszamok_nonduplicate!A739)</f>
      </c>
    </row>
    <row r="740" spans="1:9">
      <c r="A740" t="s">
        <v>2785</v>
      </c>
      <c r="B740" t="str">
        <f>VLOOKUP($A740,Szamlaszamok!$A739:F2295,2,FALSE)</f>
      </c>
      <c r="C740" t="str">
        <f>VLOOKUP($A740,Szamlaszamok!$A739:F2295,3,FALSE)</f>
      </c>
      <c r="D740" t="str">
        <f>VLOOKUP($A740,Szamlaszamok!$A739:F2295,4,FALSE)</f>
      </c>
      <c r="E740" t="str">
        <f>DATE(YEAR(D740),MONTH(D740),DAY(D740))</f>
      </c>
      <c r="F740" t="str">
        <f>CONCATENATE(C740,E740)</f>
      </c>
      <c r="G740" t="str">
        <f>TIMEVALUE(D740)</f>
      </c>
      <c r="H740" t="str">
        <f>COUNTIF(Szamlaszamok!A:A,A740)</f>
      </c>
      <c r="I740" t="str">
        <f>SUMIFS(Szamlaszamok!E:E,Szamlaszamok!A:A,Szamlaszamok_nonduplicate!A740)</f>
      </c>
    </row>
    <row r="741" spans="1:9">
      <c r="A741" t="s">
        <v>2789</v>
      </c>
      <c r="B741" t="str">
        <f>VLOOKUP($A741,Szamlaszamok!$A740:F2296,2,FALSE)</f>
      </c>
      <c r="C741" t="str">
        <f>VLOOKUP($A741,Szamlaszamok!$A740:F2296,3,FALSE)</f>
      </c>
      <c r="D741" t="str">
        <f>VLOOKUP($A741,Szamlaszamok!$A740:F2296,4,FALSE)</f>
      </c>
      <c r="E741" t="str">
        <f>DATE(YEAR(D741),MONTH(D741),DAY(D741))</f>
      </c>
      <c r="F741" t="str">
        <f>CONCATENATE(C741,E741)</f>
      </c>
      <c r="G741" t="str">
        <f>TIMEVALUE(D741)</f>
      </c>
      <c r="H741" t="str">
        <f>COUNTIF(Szamlaszamok!A:A,A741)</f>
      </c>
      <c r="I741" t="str">
        <f>SUMIFS(Szamlaszamok!E:E,Szamlaszamok!A:A,Szamlaszamok_nonduplicate!A741)</f>
      </c>
    </row>
    <row r="742" spans="1:9">
      <c r="A742" t="s">
        <v>2794</v>
      </c>
      <c r="B742" t="str">
        <f>VLOOKUP($A742,Szamlaszamok!$A741:F2297,2,FALSE)</f>
      </c>
      <c r="C742" t="str">
        <f>VLOOKUP($A742,Szamlaszamok!$A741:F2297,3,FALSE)</f>
      </c>
      <c r="D742" t="str">
        <f>VLOOKUP($A742,Szamlaszamok!$A741:F2297,4,FALSE)</f>
      </c>
      <c r="E742" t="str">
        <f>DATE(YEAR(D742),MONTH(D742),DAY(D742))</f>
      </c>
      <c r="F742" t="str">
        <f>CONCATENATE(C742,E742)</f>
      </c>
      <c r="G742" t="str">
        <f>TIMEVALUE(D742)</f>
      </c>
      <c r="H742" t="str">
        <f>COUNTIF(Szamlaszamok!A:A,A742)</f>
      </c>
      <c r="I742" t="str">
        <f>SUMIFS(Szamlaszamok!E:E,Szamlaszamok!A:A,Szamlaszamok_nonduplicate!A742)</f>
      </c>
    </row>
    <row r="743" spans="1:9">
      <c r="A743" t="s">
        <v>2798</v>
      </c>
      <c r="B743" t="str">
        <f>VLOOKUP($A743,Szamlaszamok!$A742:F2298,2,FALSE)</f>
      </c>
      <c r="C743" t="str">
        <f>VLOOKUP($A743,Szamlaszamok!$A742:F2298,3,FALSE)</f>
      </c>
      <c r="D743" t="str">
        <f>VLOOKUP($A743,Szamlaszamok!$A742:F2298,4,FALSE)</f>
      </c>
      <c r="E743" t="str">
        <f>DATE(YEAR(D743),MONTH(D743),DAY(D743))</f>
      </c>
      <c r="F743" t="str">
        <f>CONCATENATE(C743,E743)</f>
      </c>
      <c r="G743" t="str">
        <f>TIMEVALUE(D743)</f>
      </c>
      <c r="H743" t="str">
        <f>COUNTIF(Szamlaszamok!A:A,A743)</f>
      </c>
      <c r="I743" t="str">
        <f>SUMIFS(Szamlaszamok!E:E,Szamlaszamok!A:A,Szamlaszamok_nonduplicate!A743)</f>
      </c>
    </row>
    <row r="744" spans="1:9">
      <c r="A744" t="s">
        <v>2802</v>
      </c>
      <c r="B744" t="str">
        <f>VLOOKUP($A744,Szamlaszamok!$A743:F2299,2,FALSE)</f>
      </c>
      <c r="C744" t="str">
        <f>VLOOKUP($A744,Szamlaszamok!$A743:F2299,3,FALSE)</f>
      </c>
      <c r="D744" t="str">
        <f>VLOOKUP($A744,Szamlaszamok!$A743:F2299,4,FALSE)</f>
      </c>
      <c r="E744" t="str">
        <f>DATE(YEAR(D744),MONTH(D744),DAY(D744))</f>
      </c>
      <c r="F744" t="str">
        <f>CONCATENATE(C744,E744)</f>
      </c>
      <c r="G744" t="str">
        <f>TIMEVALUE(D744)</f>
      </c>
      <c r="H744" t="str">
        <f>COUNTIF(Szamlaszamok!A:A,A744)</f>
      </c>
      <c r="I744" t="str">
        <f>SUMIFS(Szamlaszamok!E:E,Szamlaszamok!A:A,Szamlaszamok_nonduplicate!A744)</f>
      </c>
    </row>
    <row r="745" spans="1:9">
      <c r="A745" t="s">
        <v>2806</v>
      </c>
      <c r="B745" t="str">
        <f>VLOOKUP($A745,Szamlaszamok!$A744:F2300,2,FALSE)</f>
      </c>
      <c r="C745" t="str">
        <f>VLOOKUP($A745,Szamlaszamok!$A744:F2300,3,FALSE)</f>
      </c>
      <c r="D745" t="str">
        <f>VLOOKUP($A745,Szamlaszamok!$A744:F2300,4,FALSE)</f>
      </c>
      <c r="E745" t="str">
        <f>DATE(YEAR(D745),MONTH(D745),DAY(D745))</f>
      </c>
      <c r="F745" t="str">
        <f>CONCATENATE(C745,E745)</f>
      </c>
      <c r="G745" t="str">
        <f>TIMEVALUE(D745)</f>
      </c>
      <c r="H745" t="str">
        <f>COUNTIF(Szamlaszamok!A:A,A745)</f>
      </c>
      <c r="I745" t="str">
        <f>SUMIFS(Szamlaszamok!E:E,Szamlaszamok!A:A,Szamlaszamok_nonduplicate!A745)</f>
      </c>
    </row>
    <row r="746" spans="1:9">
      <c r="A746" t="s">
        <v>2809</v>
      </c>
      <c r="B746" t="str">
        <f>VLOOKUP($A746,Szamlaszamok!$A745:F2301,2,FALSE)</f>
      </c>
      <c r="C746" t="str">
        <f>VLOOKUP($A746,Szamlaszamok!$A745:F2301,3,FALSE)</f>
      </c>
      <c r="D746" t="str">
        <f>VLOOKUP($A746,Szamlaszamok!$A745:F2301,4,FALSE)</f>
      </c>
      <c r="E746" t="str">
        <f>DATE(YEAR(D746),MONTH(D746),DAY(D746))</f>
      </c>
      <c r="F746" t="str">
        <f>CONCATENATE(C746,E746)</f>
      </c>
      <c r="G746" t="str">
        <f>TIMEVALUE(D746)</f>
      </c>
      <c r="H746" t="str">
        <f>COUNTIF(Szamlaszamok!A:A,A746)</f>
      </c>
      <c r="I746" t="str">
        <f>SUMIFS(Szamlaszamok!E:E,Szamlaszamok!A:A,Szamlaszamok_nonduplicate!A746)</f>
      </c>
    </row>
    <row r="747" spans="1:9">
      <c r="A747" t="s">
        <v>2813</v>
      </c>
      <c r="B747" t="str">
        <f>VLOOKUP($A747,Szamlaszamok!$A746:F2302,2,FALSE)</f>
      </c>
      <c r="C747" t="str">
        <f>VLOOKUP($A747,Szamlaszamok!$A746:F2302,3,FALSE)</f>
      </c>
      <c r="D747" t="str">
        <f>VLOOKUP($A747,Szamlaszamok!$A746:F2302,4,FALSE)</f>
      </c>
      <c r="E747" t="str">
        <f>DATE(YEAR(D747),MONTH(D747),DAY(D747))</f>
      </c>
      <c r="F747" t="str">
        <f>CONCATENATE(C747,E747)</f>
      </c>
      <c r="G747" t="str">
        <f>TIMEVALUE(D747)</f>
      </c>
      <c r="H747" t="str">
        <f>COUNTIF(Szamlaszamok!A:A,A747)</f>
      </c>
      <c r="I747" t="str">
        <f>SUMIFS(Szamlaszamok!E:E,Szamlaszamok!A:A,Szamlaszamok_nonduplicate!A747)</f>
      </c>
    </row>
    <row r="748" spans="1:9">
      <c r="A748" t="s">
        <v>2817</v>
      </c>
      <c r="B748" t="str">
        <f>VLOOKUP($A748,Szamlaszamok!$A747:F2303,2,FALSE)</f>
      </c>
      <c r="C748" t="str">
        <f>VLOOKUP($A748,Szamlaszamok!$A747:F2303,3,FALSE)</f>
      </c>
      <c r="D748" t="str">
        <f>VLOOKUP($A748,Szamlaszamok!$A747:F2303,4,FALSE)</f>
      </c>
      <c r="E748" t="str">
        <f>DATE(YEAR(D748),MONTH(D748),DAY(D748))</f>
      </c>
      <c r="F748" t="str">
        <f>CONCATENATE(C748,E748)</f>
      </c>
      <c r="G748" t="str">
        <f>TIMEVALUE(D748)</f>
      </c>
      <c r="H748" t="str">
        <f>COUNTIF(Szamlaszamok!A:A,A748)</f>
      </c>
      <c r="I748" t="str">
        <f>SUMIFS(Szamlaszamok!E:E,Szamlaszamok!A:A,Szamlaszamok_nonduplicate!A748)</f>
      </c>
    </row>
    <row r="749" spans="1:9">
      <c r="A749" t="s">
        <v>2821</v>
      </c>
      <c r="B749" t="str">
        <f>VLOOKUP($A749,Szamlaszamok!$A748:F2304,2,FALSE)</f>
      </c>
      <c r="C749" t="str">
        <f>VLOOKUP($A749,Szamlaszamok!$A748:F2304,3,FALSE)</f>
      </c>
      <c r="D749" t="str">
        <f>VLOOKUP($A749,Szamlaszamok!$A748:F2304,4,FALSE)</f>
      </c>
      <c r="E749" t="str">
        <f>DATE(YEAR(D749),MONTH(D749),DAY(D749))</f>
      </c>
      <c r="F749" t="str">
        <f>CONCATENATE(C749,E749)</f>
      </c>
      <c r="G749" t="str">
        <f>TIMEVALUE(D749)</f>
      </c>
      <c r="H749" t="str">
        <f>COUNTIF(Szamlaszamok!A:A,A749)</f>
      </c>
      <c r="I749" t="str">
        <f>SUMIFS(Szamlaszamok!E:E,Szamlaszamok!A:A,Szamlaszamok_nonduplicate!A749)</f>
      </c>
    </row>
    <row r="750" spans="1:9">
      <c r="A750" t="s">
        <v>2825</v>
      </c>
      <c r="B750" t="str">
        <f>VLOOKUP($A750,Szamlaszamok!$A749:F2305,2,FALSE)</f>
      </c>
      <c r="C750" t="str">
        <f>VLOOKUP($A750,Szamlaszamok!$A749:F2305,3,FALSE)</f>
      </c>
      <c r="D750" t="str">
        <f>VLOOKUP($A750,Szamlaszamok!$A749:F2305,4,FALSE)</f>
      </c>
      <c r="E750" t="str">
        <f>DATE(YEAR(D750),MONTH(D750),DAY(D750))</f>
      </c>
      <c r="F750" t="str">
        <f>CONCATENATE(C750,E750)</f>
      </c>
      <c r="G750" t="str">
        <f>TIMEVALUE(D750)</f>
      </c>
      <c r="H750" t="str">
        <f>COUNTIF(Szamlaszamok!A:A,A750)</f>
      </c>
      <c r="I750" t="str">
        <f>SUMIFS(Szamlaszamok!E:E,Szamlaszamok!A:A,Szamlaszamok_nonduplicate!A750)</f>
      </c>
    </row>
    <row r="751" spans="1:9">
      <c r="A751" t="s">
        <v>2829</v>
      </c>
      <c r="B751" t="str">
        <f>VLOOKUP($A751,Szamlaszamok!$A750:F2306,2,FALSE)</f>
      </c>
      <c r="C751" t="str">
        <f>VLOOKUP($A751,Szamlaszamok!$A750:F2306,3,FALSE)</f>
      </c>
      <c r="D751" t="str">
        <f>VLOOKUP($A751,Szamlaszamok!$A750:F2306,4,FALSE)</f>
      </c>
      <c r="E751" t="str">
        <f>DATE(YEAR(D751),MONTH(D751),DAY(D751))</f>
      </c>
      <c r="F751" t="str">
        <f>CONCATENATE(C751,E751)</f>
      </c>
      <c r="G751" t="str">
        <f>TIMEVALUE(D751)</f>
      </c>
      <c r="H751" t="str">
        <f>COUNTIF(Szamlaszamok!A:A,A751)</f>
      </c>
      <c r="I751" t="str">
        <f>SUMIFS(Szamlaszamok!E:E,Szamlaszamok!A:A,Szamlaszamok_nonduplicate!A751)</f>
      </c>
    </row>
    <row r="752" spans="1:9">
      <c r="A752" t="s">
        <v>2831</v>
      </c>
      <c r="B752" t="str">
        <f>VLOOKUP($A752,Szamlaszamok!$A751:F2307,2,FALSE)</f>
      </c>
      <c r="C752" t="str">
        <f>VLOOKUP($A752,Szamlaszamok!$A751:F2307,3,FALSE)</f>
      </c>
      <c r="D752" t="str">
        <f>VLOOKUP($A752,Szamlaszamok!$A751:F2307,4,FALSE)</f>
      </c>
      <c r="E752" t="str">
        <f>DATE(YEAR(D752),MONTH(D752),DAY(D752))</f>
      </c>
      <c r="F752" t="str">
        <f>CONCATENATE(C752,E752)</f>
      </c>
      <c r="G752" t="str">
        <f>TIMEVALUE(D752)</f>
      </c>
      <c r="H752" t="str">
        <f>COUNTIF(Szamlaszamok!A:A,A752)</f>
      </c>
      <c r="I752" t="str">
        <f>SUMIFS(Szamlaszamok!E:E,Szamlaszamok!A:A,Szamlaszamok_nonduplicate!A752)</f>
      </c>
    </row>
    <row r="753" spans="1:9">
      <c r="A753" t="s">
        <v>2835</v>
      </c>
      <c r="B753" t="str">
        <f>VLOOKUP($A753,Szamlaszamok!$A752:F2308,2,FALSE)</f>
      </c>
      <c r="C753" t="str">
        <f>VLOOKUP($A753,Szamlaszamok!$A752:F2308,3,FALSE)</f>
      </c>
      <c r="D753" t="str">
        <f>VLOOKUP($A753,Szamlaszamok!$A752:F2308,4,FALSE)</f>
      </c>
      <c r="E753" t="str">
        <f>DATE(YEAR(D753),MONTH(D753),DAY(D753))</f>
      </c>
      <c r="F753" t="str">
        <f>CONCATENATE(C753,E753)</f>
      </c>
      <c r="G753" t="str">
        <f>TIMEVALUE(D753)</f>
      </c>
      <c r="H753" t="str">
        <f>COUNTIF(Szamlaszamok!A:A,A753)</f>
      </c>
      <c r="I753" t="str">
        <f>SUMIFS(Szamlaszamok!E:E,Szamlaszamok!A:A,Szamlaszamok_nonduplicate!A753)</f>
      </c>
    </row>
    <row r="754" spans="1:9">
      <c r="A754" t="s">
        <v>2839</v>
      </c>
      <c r="B754" t="str">
        <f>VLOOKUP($A754,Szamlaszamok!$A753:F2309,2,FALSE)</f>
      </c>
      <c r="C754" t="str">
        <f>VLOOKUP($A754,Szamlaszamok!$A753:F2309,3,FALSE)</f>
      </c>
      <c r="D754" t="str">
        <f>VLOOKUP($A754,Szamlaszamok!$A753:F2309,4,FALSE)</f>
      </c>
      <c r="E754" t="str">
        <f>DATE(YEAR(D754),MONTH(D754),DAY(D754))</f>
      </c>
      <c r="F754" t="str">
        <f>CONCATENATE(C754,E754)</f>
      </c>
      <c r="G754" t="str">
        <f>TIMEVALUE(D754)</f>
      </c>
      <c r="H754" t="str">
        <f>COUNTIF(Szamlaszamok!A:A,A754)</f>
      </c>
      <c r="I754" t="str">
        <f>SUMIFS(Szamlaszamok!E:E,Szamlaszamok!A:A,Szamlaszamok_nonduplicate!A754)</f>
      </c>
    </row>
    <row r="755" spans="1:9">
      <c r="A755" t="s">
        <v>2842</v>
      </c>
      <c r="B755" t="str">
        <f>VLOOKUP($A755,Szamlaszamok!$A754:F2310,2,FALSE)</f>
      </c>
      <c r="C755" t="str">
        <f>VLOOKUP($A755,Szamlaszamok!$A754:F2310,3,FALSE)</f>
      </c>
      <c r="D755" t="str">
        <f>VLOOKUP($A755,Szamlaszamok!$A754:F2310,4,FALSE)</f>
      </c>
      <c r="E755" t="str">
        <f>DATE(YEAR(D755),MONTH(D755),DAY(D755))</f>
      </c>
      <c r="F755" t="str">
        <f>CONCATENATE(C755,E755)</f>
      </c>
      <c r="G755" t="str">
        <f>TIMEVALUE(D755)</f>
      </c>
      <c r="H755" t="str">
        <f>COUNTIF(Szamlaszamok!A:A,A755)</f>
      </c>
      <c r="I755" t="str">
        <f>SUMIFS(Szamlaszamok!E:E,Szamlaszamok!A:A,Szamlaszamok_nonduplicate!A755)</f>
      </c>
    </row>
    <row r="756" spans="1:9">
      <c r="A756" t="s">
        <v>2845</v>
      </c>
      <c r="B756" t="str">
        <f>VLOOKUP($A756,Szamlaszamok!$A755:F2311,2,FALSE)</f>
      </c>
      <c r="C756" t="str">
        <f>VLOOKUP($A756,Szamlaszamok!$A755:F2311,3,FALSE)</f>
      </c>
      <c r="D756" t="str">
        <f>VLOOKUP($A756,Szamlaszamok!$A755:F2311,4,FALSE)</f>
      </c>
      <c r="E756" t="str">
        <f>DATE(YEAR(D756),MONTH(D756),DAY(D756))</f>
      </c>
      <c r="F756" t="str">
        <f>CONCATENATE(C756,E756)</f>
      </c>
      <c r="G756" t="str">
        <f>TIMEVALUE(D756)</f>
      </c>
      <c r="H756" t="str">
        <f>COUNTIF(Szamlaszamok!A:A,A756)</f>
      </c>
      <c r="I756" t="str">
        <f>SUMIFS(Szamlaszamok!E:E,Szamlaszamok!A:A,Szamlaszamok_nonduplicate!A756)</f>
      </c>
    </row>
    <row r="757" spans="1:9">
      <c r="A757" t="s">
        <v>2849</v>
      </c>
      <c r="B757" t="str">
        <f>VLOOKUP($A757,Szamlaszamok!$A756:F2312,2,FALSE)</f>
      </c>
      <c r="C757" t="str">
        <f>VLOOKUP($A757,Szamlaszamok!$A756:F2312,3,FALSE)</f>
      </c>
      <c r="D757" t="str">
        <f>VLOOKUP($A757,Szamlaszamok!$A756:F2312,4,FALSE)</f>
      </c>
      <c r="E757" t="str">
        <f>DATE(YEAR(D757),MONTH(D757),DAY(D757))</f>
      </c>
      <c r="F757" t="str">
        <f>CONCATENATE(C757,E757)</f>
      </c>
      <c r="G757" t="str">
        <f>TIMEVALUE(D757)</f>
      </c>
      <c r="H757" t="str">
        <f>COUNTIF(Szamlaszamok!A:A,A757)</f>
      </c>
      <c r="I757" t="str">
        <f>SUMIFS(Szamlaszamok!E:E,Szamlaszamok!A:A,Szamlaszamok_nonduplicate!A757)</f>
      </c>
    </row>
    <row r="758" spans="1:9">
      <c r="A758" t="s">
        <v>2853</v>
      </c>
      <c r="B758" t="str">
        <f>VLOOKUP($A758,Szamlaszamok!$A757:F2313,2,FALSE)</f>
      </c>
      <c r="C758" t="str">
        <f>VLOOKUP($A758,Szamlaszamok!$A757:F2313,3,FALSE)</f>
      </c>
      <c r="D758" t="str">
        <f>VLOOKUP($A758,Szamlaszamok!$A757:F2313,4,FALSE)</f>
      </c>
      <c r="E758" t="str">
        <f>DATE(YEAR(D758),MONTH(D758),DAY(D758))</f>
      </c>
      <c r="F758" t="str">
        <f>CONCATENATE(C758,E758)</f>
      </c>
      <c r="G758" t="str">
        <f>TIMEVALUE(D758)</f>
      </c>
      <c r="H758" t="str">
        <f>COUNTIF(Szamlaszamok!A:A,A758)</f>
      </c>
      <c r="I758" t="str">
        <f>SUMIFS(Szamlaszamok!E:E,Szamlaszamok!A:A,Szamlaszamok_nonduplicate!A758)</f>
      </c>
    </row>
    <row r="759" spans="1:9">
      <c r="A759" t="s">
        <v>2856</v>
      </c>
      <c r="B759" t="str">
        <f>VLOOKUP($A759,Szamlaszamok!$A758:F2314,2,FALSE)</f>
      </c>
      <c r="C759" t="str">
        <f>VLOOKUP($A759,Szamlaszamok!$A758:F2314,3,FALSE)</f>
      </c>
      <c r="D759" t="str">
        <f>VLOOKUP($A759,Szamlaszamok!$A758:F2314,4,FALSE)</f>
      </c>
      <c r="E759" t="str">
        <f>DATE(YEAR(D759),MONTH(D759),DAY(D759))</f>
      </c>
      <c r="F759" t="str">
        <f>CONCATENATE(C759,E759)</f>
      </c>
      <c r="G759" t="str">
        <f>TIMEVALUE(D759)</f>
      </c>
      <c r="H759" t="str">
        <f>COUNTIF(Szamlaszamok!A:A,A759)</f>
      </c>
      <c r="I759" t="str">
        <f>SUMIFS(Szamlaszamok!E:E,Szamlaszamok!A:A,Szamlaszamok_nonduplicate!A759)</f>
      </c>
    </row>
    <row r="760" spans="1:9">
      <c r="A760" t="s">
        <v>2859</v>
      </c>
      <c r="B760" t="str">
        <f>VLOOKUP($A760,Szamlaszamok!$A759:F2315,2,FALSE)</f>
      </c>
      <c r="C760" t="str">
        <f>VLOOKUP($A760,Szamlaszamok!$A759:F2315,3,FALSE)</f>
      </c>
      <c r="D760" t="str">
        <f>VLOOKUP($A760,Szamlaszamok!$A759:F2315,4,FALSE)</f>
      </c>
      <c r="E760" t="str">
        <f>DATE(YEAR(D760),MONTH(D760),DAY(D760))</f>
      </c>
      <c r="F760" t="str">
        <f>CONCATENATE(C760,E760)</f>
      </c>
      <c r="G760" t="str">
        <f>TIMEVALUE(D760)</f>
      </c>
      <c r="H760" t="str">
        <f>COUNTIF(Szamlaszamok!A:A,A760)</f>
      </c>
      <c r="I760" t="str">
        <f>SUMIFS(Szamlaszamok!E:E,Szamlaszamok!A:A,Szamlaszamok_nonduplicate!A760)</f>
      </c>
    </row>
    <row r="761" spans="1:9">
      <c r="A761" t="s">
        <v>2863</v>
      </c>
      <c r="B761" t="str">
        <f>VLOOKUP($A761,Szamlaszamok!$A760:F2316,2,FALSE)</f>
      </c>
      <c r="C761" t="str">
        <f>VLOOKUP($A761,Szamlaszamok!$A760:F2316,3,FALSE)</f>
      </c>
      <c r="D761" t="str">
        <f>VLOOKUP($A761,Szamlaszamok!$A760:F2316,4,FALSE)</f>
      </c>
      <c r="E761" t="str">
        <f>DATE(YEAR(D761),MONTH(D761),DAY(D761))</f>
      </c>
      <c r="F761" t="str">
        <f>CONCATENATE(C761,E761)</f>
      </c>
      <c r="G761" t="str">
        <f>TIMEVALUE(D761)</f>
      </c>
      <c r="H761" t="str">
        <f>COUNTIF(Szamlaszamok!A:A,A761)</f>
      </c>
      <c r="I761" t="str">
        <f>SUMIFS(Szamlaszamok!E:E,Szamlaszamok!A:A,Szamlaszamok_nonduplicate!A761)</f>
      </c>
    </row>
    <row r="762" spans="1:9">
      <c r="A762" t="s">
        <v>2866</v>
      </c>
      <c r="B762" t="str">
        <f>VLOOKUP($A762,Szamlaszamok!$A761:F2317,2,FALSE)</f>
      </c>
      <c r="C762" t="str">
        <f>VLOOKUP($A762,Szamlaszamok!$A761:F2317,3,FALSE)</f>
      </c>
      <c r="D762" t="str">
        <f>VLOOKUP($A762,Szamlaszamok!$A761:F2317,4,FALSE)</f>
      </c>
      <c r="E762" t="str">
        <f>DATE(YEAR(D762),MONTH(D762),DAY(D762))</f>
      </c>
      <c r="F762" t="str">
        <f>CONCATENATE(C762,E762)</f>
      </c>
      <c r="G762" t="str">
        <f>TIMEVALUE(D762)</f>
      </c>
      <c r="H762" t="str">
        <f>COUNTIF(Szamlaszamok!A:A,A762)</f>
      </c>
      <c r="I762" t="str">
        <f>SUMIFS(Szamlaszamok!E:E,Szamlaszamok!A:A,Szamlaszamok_nonduplicate!A762)</f>
      </c>
    </row>
    <row r="763" spans="1:9">
      <c r="A763" t="s">
        <v>2870</v>
      </c>
      <c r="B763" t="str">
        <f>VLOOKUP($A763,Szamlaszamok!$A762:F2318,2,FALSE)</f>
      </c>
      <c r="C763" t="str">
        <f>VLOOKUP($A763,Szamlaszamok!$A762:F2318,3,FALSE)</f>
      </c>
      <c r="D763" t="str">
        <f>VLOOKUP($A763,Szamlaszamok!$A762:F2318,4,FALSE)</f>
      </c>
      <c r="E763" t="str">
        <f>DATE(YEAR(D763),MONTH(D763),DAY(D763))</f>
      </c>
      <c r="F763" t="str">
        <f>CONCATENATE(C763,E763)</f>
      </c>
      <c r="G763" t="str">
        <f>TIMEVALUE(D763)</f>
      </c>
      <c r="H763" t="str">
        <f>COUNTIF(Szamlaszamok!A:A,A763)</f>
      </c>
      <c r="I763" t="str">
        <f>SUMIFS(Szamlaszamok!E:E,Szamlaszamok!A:A,Szamlaszamok_nonduplicate!A763)</f>
      </c>
    </row>
    <row r="764" spans="1:9">
      <c r="A764" t="s">
        <v>2874</v>
      </c>
      <c r="B764" t="str">
        <f>VLOOKUP($A764,Szamlaszamok!$A763:F2319,2,FALSE)</f>
      </c>
      <c r="C764" t="str">
        <f>VLOOKUP($A764,Szamlaszamok!$A763:F2319,3,FALSE)</f>
      </c>
      <c r="D764" t="str">
        <f>VLOOKUP($A764,Szamlaszamok!$A763:F2319,4,FALSE)</f>
      </c>
      <c r="E764" t="str">
        <f>DATE(YEAR(D764),MONTH(D764),DAY(D764))</f>
      </c>
      <c r="F764" t="str">
        <f>CONCATENATE(C764,E764)</f>
      </c>
      <c r="G764" t="str">
        <f>TIMEVALUE(D764)</f>
      </c>
      <c r="H764" t="str">
        <f>COUNTIF(Szamlaszamok!A:A,A764)</f>
      </c>
      <c r="I764" t="str">
        <f>SUMIFS(Szamlaszamok!E:E,Szamlaszamok!A:A,Szamlaszamok_nonduplicate!A764)</f>
      </c>
    </row>
    <row r="765" spans="1:9">
      <c r="A765" t="s">
        <v>2878</v>
      </c>
      <c r="B765" t="str">
        <f>VLOOKUP($A765,Szamlaszamok!$A764:F2320,2,FALSE)</f>
      </c>
      <c r="C765" t="str">
        <f>VLOOKUP($A765,Szamlaszamok!$A764:F2320,3,FALSE)</f>
      </c>
      <c r="D765" t="str">
        <f>VLOOKUP($A765,Szamlaszamok!$A764:F2320,4,FALSE)</f>
      </c>
      <c r="E765" t="str">
        <f>DATE(YEAR(D765),MONTH(D765),DAY(D765))</f>
      </c>
      <c r="F765" t="str">
        <f>CONCATENATE(C765,E765)</f>
      </c>
      <c r="G765" t="str">
        <f>TIMEVALUE(D765)</f>
      </c>
      <c r="H765" t="str">
        <f>COUNTIF(Szamlaszamok!A:A,A765)</f>
      </c>
      <c r="I765" t="str">
        <f>SUMIFS(Szamlaszamok!E:E,Szamlaszamok!A:A,Szamlaszamok_nonduplicate!A765)</f>
      </c>
    </row>
    <row r="766" spans="1:9">
      <c r="A766" t="s">
        <v>2882</v>
      </c>
      <c r="B766" t="str">
        <f>VLOOKUP($A766,Szamlaszamok!$A765:F2321,2,FALSE)</f>
      </c>
      <c r="C766" t="str">
        <f>VLOOKUP($A766,Szamlaszamok!$A765:F2321,3,FALSE)</f>
      </c>
      <c r="D766" t="str">
        <f>VLOOKUP($A766,Szamlaszamok!$A765:F2321,4,FALSE)</f>
      </c>
      <c r="E766" t="str">
        <f>DATE(YEAR(D766),MONTH(D766),DAY(D766))</f>
      </c>
      <c r="F766" t="str">
        <f>CONCATENATE(C766,E766)</f>
      </c>
      <c r="G766" t="str">
        <f>TIMEVALUE(D766)</f>
      </c>
      <c r="H766" t="str">
        <f>COUNTIF(Szamlaszamok!A:A,A766)</f>
      </c>
      <c r="I766" t="str">
        <f>SUMIFS(Szamlaszamok!E:E,Szamlaszamok!A:A,Szamlaszamok_nonduplicate!A766)</f>
      </c>
    </row>
    <row r="767" spans="1:9">
      <c r="A767" t="s">
        <v>2886</v>
      </c>
      <c r="B767" t="str">
        <f>VLOOKUP($A767,Szamlaszamok!$A766:F2322,2,FALSE)</f>
      </c>
      <c r="C767" t="str">
        <f>VLOOKUP($A767,Szamlaszamok!$A766:F2322,3,FALSE)</f>
      </c>
      <c r="D767" t="str">
        <f>VLOOKUP($A767,Szamlaszamok!$A766:F2322,4,FALSE)</f>
      </c>
      <c r="E767" t="str">
        <f>DATE(YEAR(D767),MONTH(D767),DAY(D767))</f>
      </c>
      <c r="F767" t="str">
        <f>CONCATENATE(C767,E767)</f>
      </c>
      <c r="G767" t="str">
        <f>TIMEVALUE(D767)</f>
      </c>
      <c r="H767" t="str">
        <f>COUNTIF(Szamlaszamok!A:A,A767)</f>
      </c>
      <c r="I767" t="str">
        <f>SUMIFS(Szamlaszamok!E:E,Szamlaszamok!A:A,Szamlaszamok_nonduplicate!A767)</f>
      </c>
    </row>
    <row r="768" spans="1:9">
      <c r="A768" t="s">
        <v>2890</v>
      </c>
      <c r="B768" t="str">
        <f>VLOOKUP($A768,Szamlaszamok!$A767:F2323,2,FALSE)</f>
      </c>
      <c r="C768" t="str">
        <f>VLOOKUP($A768,Szamlaszamok!$A767:F2323,3,FALSE)</f>
      </c>
      <c r="D768" t="str">
        <f>VLOOKUP($A768,Szamlaszamok!$A767:F2323,4,FALSE)</f>
      </c>
      <c r="E768" t="str">
        <f>DATE(YEAR(D768),MONTH(D768),DAY(D768))</f>
      </c>
      <c r="F768" t="str">
        <f>CONCATENATE(C768,E768)</f>
      </c>
      <c r="G768" t="str">
        <f>TIMEVALUE(D768)</f>
      </c>
      <c r="H768" t="str">
        <f>COUNTIF(Szamlaszamok!A:A,A768)</f>
      </c>
      <c r="I768" t="str">
        <f>SUMIFS(Szamlaszamok!E:E,Szamlaszamok!A:A,Szamlaszamok_nonduplicate!A768)</f>
      </c>
    </row>
    <row r="769" spans="1:9">
      <c r="A769" t="s">
        <v>2894</v>
      </c>
      <c r="B769" t="str">
        <f>VLOOKUP($A769,Szamlaszamok!$A768:F2324,2,FALSE)</f>
      </c>
      <c r="C769" t="str">
        <f>VLOOKUP($A769,Szamlaszamok!$A768:F2324,3,FALSE)</f>
      </c>
      <c r="D769" t="str">
        <f>VLOOKUP($A769,Szamlaszamok!$A768:F2324,4,FALSE)</f>
      </c>
      <c r="E769" t="str">
        <f>DATE(YEAR(D769),MONTH(D769),DAY(D769))</f>
      </c>
      <c r="F769" t="str">
        <f>CONCATENATE(C769,E769)</f>
      </c>
      <c r="G769" t="str">
        <f>TIMEVALUE(D769)</f>
      </c>
      <c r="H769" t="str">
        <f>COUNTIF(Szamlaszamok!A:A,A769)</f>
      </c>
      <c r="I769" t="str">
        <f>SUMIFS(Szamlaszamok!E:E,Szamlaszamok!A:A,Szamlaszamok_nonduplicate!A769)</f>
      </c>
    </row>
    <row r="770" spans="1:9">
      <c r="A770" t="s">
        <v>2898</v>
      </c>
      <c r="B770" t="str">
        <f>VLOOKUP($A770,Szamlaszamok!$A769:F2325,2,FALSE)</f>
      </c>
      <c r="C770" t="str">
        <f>VLOOKUP($A770,Szamlaszamok!$A769:F2325,3,FALSE)</f>
      </c>
      <c r="D770" t="str">
        <f>VLOOKUP($A770,Szamlaszamok!$A769:F2325,4,FALSE)</f>
      </c>
      <c r="E770" t="str">
        <f>DATE(YEAR(D770),MONTH(D770),DAY(D770))</f>
      </c>
      <c r="F770" t="str">
        <f>CONCATENATE(C770,E770)</f>
      </c>
      <c r="G770" t="str">
        <f>TIMEVALUE(D770)</f>
      </c>
      <c r="H770" t="str">
        <f>COUNTIF(Szamlaszamok!A:A,A770)</f>
      </c>
      <c r="I770" t="str">
        <f>SUMIFS(Szamlaszamok!E:E,Szamlaszamok!A:A,Szamlaszamok_nonduplicate!A770)</f>
      </c>
    </row>
    <row r="771" spans="1:9">
      <c r="A771" t="s">
        <v>2901</v>
      </c>
      <c r="B771" t="str">
        <f>VLOOKUP($A771,Szamlaszamok!$A770:F2326,2,FALSE)</f>
      </c>
      <c r="C771" t="str">
        <f>VLOOKUP($A771,Szamlaszamok!$A770:F2326,3,FALSE)</f>
      </c>
      <c r="D771" t="str">
        <f>VLOOKUP($A771,Szamlaszamok!$A770:F2326,4,FALSE)</f>
      </c>
      <c r="E771" t="str">
        <f>DATE(YEAR(D771),MONTH(D771),DAY(D771))</f>
      </c>
      <c r="F771" t="str">
        <f>CONCATENATE(C771,E771)</f>
      </c>
      <c r="G771" t="str">
        <f>TIMEVALUE(D771)</f>
      </c>
      <c r="H771" t="str">
        <f>COUNTIF(Szamlaszamok!A:A,A771)</f>
      </c>
      <c r="I771" t="str">
        <f>SUMIFS(Szamlaszamok!E:E,Szamlaszamok!A:A,Szamlaszamok_nonduplicate!A771)</f>
      </c>
    </row>
    <row r="772" spans="1:9">
      <c r="A772" t="s">
        <v>2905</v>
      </c>
      <c r="B772" t="str">
        <f>VLOOKUP($A772,Szamlaszamok!$A771:F2327,2,FALSE)</f>
      </c>
      <c r="C772" t="str">
        <f>VLOOKUP($A772,Szamlaszamok!$A771:F2327,3,FALSE)</f>
      </c>
      <c r="D772" t="str">
        <f>VLOOKUP($A772,Szamlaszamok!$A771:F2327,4,FALSE)</f>
      </c>
      <c r="E772" t="str">
        <f>DATE(YEAR(D772),MONTH(D772),DAY(D772))</f>
      </c>
      <c r="F772" t="str">
        <f>CONCATENATE(C772,E772)</f>
      </c>
      <c r="G772" t="str">
        <f>TIMEVALUE(D772)</f>
      </c>
      <c r="H772" t="str">
        <f>COUNTIF(Szamlaszamok!A:A,A772)</f>
      </c>
      <c r="I772" t="str">
        <f>SUMIFS(Szamlaszamok!E:E,Szamlaszamok!A:A,Szamlaszamok_nonduplicate!A772)</f>
      </c>
    </row>
    <row r="773" spans="1:9">
      <c r="A773" t="s">
        <v>2910</v>
      </c>
      <c r="B773" t="str">
        <f>VLOOKUP($A773,Szamlaszamok!$A772:F2328,2,FALSE)</f>
      </c>
      <c r="C773" t="str">
        <f>VLOOKUP($A773,Szamlaszamok!$A772:F2328,3,FALSE)</f>
      </c>
      <c r="D773" t="str">
        <f>VLOOKUP($A773,Szamlaszamok!$A772:F2328,4,FALSE)</f>
      </c>
      <c r="E773" t="str">
        <f>DATE(YEAR(D773),MONTH(D773),DAY(D773))</f>
      </c>
      <c r="F773" t="str">
        <f>CONCATENATE(C773,E773)</f>
      </c>
      <c r="G773" t="str">
        <f>TIMEVALUE(D773)</f>
      </c>
      <c r="H773" t="str">
        <f>COUNTIF(Szamlaszamok!A:A,A773)</f>
      </c>
      <c r="I773" t="str">
        <f>SUMIFS(Szamlaszamok!E:E,Szamlaszamok!A:A,Szamlaszamok_nonduplicate!A773)</f>
      </c>
    </row>
    <row r="774" spans="1:9">
      <c r="A774" t="s">
        <v>2914</v>
      </c>
      <c r="B774" t="str">
        <f>VLOOKUP($A774,Szamlaszamok!$A773:F2329,2,FALSE)</f>
      </c>
      <c r="C774" t="str">
        <f>VLOOKUP($A774,Szamlaszamok!$A773:F2329,3,FALSE)</f>
      </c>
      <c r="D774" t="str">
        <f>VLOOKUP($A774,Szamlaszamok!$A773:F2329,4,FALSE)</f>
      </c>
      <c r="E774" t="str">
        <f>DATE(YEAR(D774),MONTH(D774),DAY(D774))</f>
      </c>
      <c r="F774" t="str">
        <f>CONCATENATE(C774,E774)</f>
      </c>
      <c r="G774" t="str">
        <f>TIMEVALUE(D774)</f>
      </c>
      <c r="H774" t="str">
        <f>COUNTIF(Szamlaszamok!A:A,A774)</f>
      </c>
      <c r="I774" t="str">
        <f>SUMIFS(Szamlaszamok!E:E,Szamlaszamok!A:A,Szamlaszamok_nonduplicate!A774)</f>
      </c>
    </row>
    <row r="775" spans="1:9">
      <c r="A775" t="s">
        <v>2918</v>
      </c>
      <c r="B775" t="str">
        <f>VLOOKUP($A775,Szamlaszamok!$A774:F2330,2,FALSE)</f>
      </c>
      <c r="C775" t="str">
        <f>VLOOKUP($A775,Szamlaszamok!$A774:F2330,3,FALSE)</f>
      </c>
      <c r="D775" t="str">
        <f>VLOOKUP($A775,Szamlaszamok!$A774:F2330,4,FALSE)</f>
      </c>
      <c r="E775" t="str">
        <f>DATE(YEAR(D775),MONTH(D775),DAY(D775))</f>
      </c>
      <c r="F775" t="str">
        <f>CONCATENATE(C775,E775)</f>
      </c>
      <c r="G775" t="str">
        <f>TIMEVALUE(D775)</f>
      </c>
      <c r="H775" t="str">
        <f>COUNTIF(Szamlaszamok!A:A,A775)</f>
      </c>
      <c r="I775" t="str">
        <f>SUMIFS(Szamlaszamok!E:E,Szamlaszamok!A:A,Szamlaszamok_nonduplicate!A775)</f>
      </c>
    </row>
    <row r="776" spans="1:9">
      <c r="A776" t="s">
        <v>2922</v>
      </c>
      <c r="B776" t="str">
        <f>VLOOKUP($A776,Szamlaszamok!$A775:F2331,2,FALSE)</f>
      </c>
      <c r="C776" t="str">
        <f>VLOOKUP($A776,Szamlaszamok!$A775:F2331,3,FALSE)</f>
      </c>
      <c r="D776" t="str">
        <f>VLOOKUP($A776,Szamlaszamok!$A775:F2331,4,FALSE)</f>
      </c>
      <c r="E776" t="str">
        <f>DATE(YEAR(D776),MONTH(D776),DAY(D776))</f>
      </c>
      <c r="F776" t="str">
        <f>CONCATENATE(C776,E776)</f>
      </c>
      <c r="G776" t="str">
        <f>TIMEVALUE(D776)</f>
      </c>
      <c r="H776" t="str">
        <f>COUNTIF(Szamlaszamok!A:A,A776)</f>
      </c>
      <c r="I776" t="str">
        <f>SUMIFS(Szamlaszamok!E:E,Szamlaszamok!A:A,Szamlaszamok_nonduplicate!A776)</f>
      </c>
    </row>
    <row r="777" spans="1:9">
      <c r="A777" t="s">
        <v>2926</v>
      </c>
      <c r="B777" t="str">
        <f>VLOOKUP($A777,Szamlaszamok!$A776:F2332,2,FALSE)</f>
      </c>
      <c r="C777" t="str">
        <f>VLOOKUP($A777,Szamlaszamok!$A776:F2332,3,FALSE)</f>
      </c>
      <c r="D777" t="str">
        <f>VLOOKUP($A777,Szamlaszamok!$A776:F2332,4,FALSE)</f>
      </c>
      <c r="E777" t="str">
        <f>DATE(YEAR(D777),MONTH(D777),DAY(D777))</f>
      </c>
      <c r="F777" t="str">
        <f>CONCATENATE(C777,E777)</f>
      </c>
      <c r="G777" t="str">
        <f>TIMEVALUE(D777)</f>
      </c>
      <c r="H777" t="str">
        <f>COUNTIF(Szamlaszamok!A:A,A777)</f>
      </c>
      <c r="I777" t="str">
        <f>SUMIFS(Szamlaszamok!E:E,Szamlaszamok!A:A,Szamlaszamok_nonduplicate!A777)</f>
      </c>
    </row>
    <row r="778" spans="1:9">
      <c r="A778" t="s">
        <v>2930</v>
      </c>
      <c r="B778" t="str">
        <f>VLOOKUP($A778,Szamlaszamok!$A777:F2333,2,FALSE)</f>
      </c>
      <c r="C778" t="str">
        <f>VLOOKUP($A778,Szamlaszamok!$A777:F2333,3,FALSE)</f>
      </c>
      <c r="D778" t="str">
        <f>VLOOKUP($A778,Szamlaszamok!$A777:F2333,4,FALSE)</f>
      </c>
      <c r="E778" t="str">
        <f>DATE(YEAR(D778),MONTH(D778),DAY(D778))</f>
      </c>
      <c r="F778" t="str">
        <f>CONCATENATE(C778,E778)</f>
      </c>
      <c r="G778" t="str">
        <f>TIMEVALUE(D778)</f>
      </c>
      <c r="H778" t="str">
        <f>COUNTIF(Szamlaszamok!A:A,A778)</f>
      </c>
      <c r="I778" t="str">
        <f>SUMIFS(Szamlaszamok!E:E,Szamlaszamok!A:A,Szamlaszamok_nonduplicate!A778)</f>
      </c>
    </row>
    <row r="779" spans="1:9">
      <c r="A779" t="s">
        <v>2934</v>
      </c>
      <c r="B779" t="str">
        <f>VLOOKUP($A779,Szamlaszamok!$A778:F2334,2,FALSE)</f>
      </c>
      <c r="C779" t="str">
        <f>VLOOKUP($A779,Szamlaszamok!$A778:F2334,3,FALSE)</f>
      </c>
      <c r="D779" t="str">
        <f>VLOOKUP($A779,Szamlaszamok!$A778:F2334,4,FALSE)</f>
      </c>
      <c r="E779" t="str">
        <f>DATE(YEAR(D779),MONTH(D779),DAY(D779))</f>
      </c>
      <c r="F779" t="str">
        <f>CONCATENATE(C779,E779)</f>
      </c>
      <c r="G779" t="str">
        <f>TIMEVALUE(D779)</f>
      </c>
      <c r="H779" t="str">
        <f>COUNTIF(Szamlaszamok!A:A,A779)</f>
      </c>
      <c r="I779" t="str">
        <f>SUMIFS(Szamlaszamok!E:E,Szamlaszamok!A:A,Szamlaszamok_nonduplicate!A779)</f>
      </c>
    </row>
    <row r="780" spans="1:9">
      <c r="A780" t="s">
        <v>2937</v>
      </c>
      <c r="B780" t="str">
        <f>VLOOKUP($A780,Szamlaszamok!$A779:F2335,2,FALSE)</f>
      </c>
      <c r="C780" t="str">
        <f>VLOOKUP($A780,Szamlaszamok!$A779:F2335,3,FALSE)</f>
      </c>
      <c r="D780" t="str">
        <f>VLOOKUP($A780,Szamlaszamok!$A779:F2335,4,FALSE)</f>
      </c>
      <c r="E780" t="str">
        <f>DATE(YEAR(D780),MONTH(D780),DAY(D780))</f>
      </c>
      <c r="F780" t="str">
        <f>CONCATENATE(C780,E780)</f>
      </c>
      <c r="G780" t="str">
        <f>TIMEVALUE(D780)</f>
      </c>
      <c r="H780" t="str">
        <f>COUNTIF(Szamlaszamok!A:A,A780)</f>
      </c>
      <c r="I780" t="str">
        <f>SUMIFS(Szamlaszamok!E:E,Szamlaszamok!A:A,Szamlaszamok_nonduplicate!A780)</f>
      </c>
    </row>
    <row r="781" spans="1:9">
      <c r="A781" t="s">
        <v>2942</v>
      </c>
      <c r="B781" t="str">
        <f>VLOOKUP($A781,Szamlaszamok!$A780:F2336,2,FALSE)</f>
      </c>
      <c r="C781" t="str">
        <f>VLOOKUP($A781,Szamlaszamok!$A780:F2336,3,FALSE)</f>
      </c>
      <c r="D781" t="str">
        <f>VLOOKUP($A781,Szamlaszamok!$A780:F2336,4,FALSE)</f>
      </c>
      <c r="E781" t="str">
        <f>DATE(YEAR(D781),MONTH(D781),DAY(D781))</f>
      </c>
      <c r="F781" t="str">
        <f>CONCATENATE(C781,E781)</f>
      </c>
      <c r="G781" t="str">
        <f>TIMEVALUE(D781)</f>
      </c>
      <c r="H781" t="str">
        <f>COUNTIF(Szamlaszamok!A:A,A781)</f>
      </c>
      <c r="I781" t="str">
        <f>SUMIFS(Szamlaszamok!E:E,Szamlaszamok!A:A,Szamlaszamok_nonduplicate!A781)</f>
      </c>
    </row>
    <row r="782" spans="1:9">
      <c r="A782" t="s">
        <v>2946</v>
      </c>
      <c r="B782" t="str">
        <f>VLOOKUP($A782,Szamlaszamok!$A781:F2337,2,FALSE)</f>
      </c>
      <c r="C782" t="str">
        <f>VLOOKUP($A782,Szamlaszamok!$A781:F2337,3,FALSE)</f>
      </c>
      <c r="D782" t="str">
        <f>VLOOKUP($A782,Szamlaszamok!$A781:F2337,4,FALSE)</f>
      </c>
      <c r="E782" t="str">
        <f>DATE(YEAR(D782),MONTH(D782),DAY(D782))</f>
      </c>
      <c r="F782" t="str">
        <f>CONCATENATE(C782,E782)</f>
      </c>
      <c r="G782" t="str">
        <f>TIMEVALUE(D782)</f>
      </c>
      <c r="H782" t="str">
        <f>COUNTIF(Szamlaszamok!A:A,A782)</f>
      </c>
      <c r="I782" t="str">
        <f>SUMIFS(Szamlaszamok!E:E,Szamlaszamok!A:A,Szamlaszamok_nonduplicate!A782)</f>
      </c>
    </row>
    <row r="783" spans="1:9">
      <c r="A783" t="s">
        <v>2950</v>
      </c>
      <c r="B783" t="str">
        <f>VLOOKUP($A783,Szamlaszamok!$A782:F2338,2,FALSE)</f>
      </c>
      <c r="C783" t="str">
        <f>VLOOKUP($A783,Szamlaszamok!$A782:F2338,3,FALSE)</f>
      </c>
      <c r="D783" t="str">
        <f>VLOOKUP($A783,Szamlaszamok!$A782:F2338,4,FALSE)</f>
      </c>
      <c r="E783" t="str">
        <f>DATE(YEAR(D783),MONTH(D783),DAY(D783))</f>
      </c>
      <c r="F783" t="str">
        <f>CONCATENATE(C783,E783)</f>
      </c>
      <c r="G783" t="str">
        <f>TIMEVALUE(D783)</f>
      </c>
      <c r="H783" t="str">
        <f>COUNTIF(Szamlaszamok!A:A,A783)</f>
      </c>
      <c r="I783" t="str">
        <f>SUMIFS(Szamlaszamok!E:E,Szamlaszamok!A:A,Szamlaszamok_nonduplicate!A783)</f>
      </c>
    </row>
    <row r="784" spans="1:9">
      <c r="A784" t="s">
        <v>2954</v>
      </c>
      <c r="B784" t="str">
        <f>VLOOKUP($A784,Szamlaszamok!$A783:F2339,2,FALSE)</f>
      </c>
      <c r="C784" t="str">
        <f>VLOOKUP($A784,Szamlaszamok!$A783:F2339,3,FALSE)</f>
      </c>
      <c r="D784" t="str">
        <f>VLOOKUP($A784,Szamlaszamok!$A783:F2339,4,FALSE)</f>
      </c>
      <c r="E784" t="str">
        <f>DATE(YEAR(D784),MONTH(D784),DAY(D784))</f>
      </c>
      <c r="F784" t="str">
        <f>CONCATENATE(C784,E784)</f>
      </c>
      <c r="G784" t="str">
        <f>TIMEVALUE(D784)</f>
      </c>
      <c r="H784" t="str">
        <f>COUNTIF(Szamlaszamok!A:A,A784)</f>
      </c>
      <c r="I784" t="str">
        <f>SUMIFS(Szamlaszamok!E:E,Szamlaszamok!A:A,Szamlaszamok_nonduplicate!A784)</f>
      </c>
    </row>
    <row r="785" spans="1:9">
      <c r="A785" t="s">
        <v>2957</v>
      </c>
      <c r="B785" t="str">
        <f>VLOOKUP($A785,Szamlaszamok!$A784:F2340,2,FALSE)</f>
      </c>
      <c r="C785" t="str">
        <f>VLOOKUP($A785,Szamlaszamok!$A784:F2340,3,FALSE)</f>
      </c>
      <c r="D785" t="str">
        <f>VLOOKUP($A785,Szamlaszamok!$A784:F2340,4,FALSE)</f>
      </c>
      <c r="E785" t="str">
        <f>DATE(YEAR(D785),MONTH(D785),DAY(D785))</f>
      </c>
      <c r="F785" t="str">
        <f>CONCATENATE(C785,E785)</f>
      </c>
      <c r="G785" t="str">
        <f>TIMEVALUE(D785)</f>
      </c>
      <c r="H785" t="str">
        <f>COUNTIF(Szamlaszamok!A:A,A785)</f>
      </c>
      <c r="I785" t="str">
        <f>SUMIFS(Szamlaszamok!E:E,Szamlaszamok!A:A,Szamlaszamok_nonduplicate!A785)</f>
      </c>
    </row>
    <row r="786" spans="1:9">
      <c r="A786" t="s">
        <v>2962</v>
      </c>
      <c r="B786" t="str">
        <f>VLOOKUP($A786,Szamlaszamok!$A785:F2341,2,FALSE)</f>
      </c>
      <c r="C786" t="str">
        <f>VLOOKUP($A786,Szamlaszamok!$A785:F2341,3,FALSE)</f>
      </c>
      <c r="D786" t="str">
        <f>VLOOKUP($A786,Szamlaszamok!$A785:F2341,4,FALSE)</f>
      </c>
      <c r="E786" t="str">
        <f>DATE(YEAR(D786),MONTH(D786),DAY(D786))</f>
      </c>
      <c r="F786" t="str">
        <f>CONCATENATE(C786,E786)</f>
      </c>
      <c r="G786" t="str">
        <f>TIMEVALUE(D786)</f>
      </c>
      <c r="H786" t="str">
        <f>COUNTIF(Szamlaszamok!A:A,A786)</f>
      </c>
      <c r="I786" t="str">
        <f>SUMIFS(Szamlaszamok!E:E,Szamlaszamok!A:A,Szamlaszamok_nonduplicate!A786)</f>
      </c>
    </row>
    <row r="787" spans="1:9">
      <c r="A787" t="s">
        <v>2966</v>
      </c>
      <c r="B787" t="str">
        <f>VLOOKUP($A787,Szamlaszamok!$A786:F2342,2,FALSE)</f>
      </c>
      <c r="C787" t="str">
        <f>VLOOKUP($A787,Szamlaszamok!$A786:F2342,3,FALSE)</f>
      </c>
      <c r="D787" t="str">
        <f>VLOOKUP($A787,Szamlaszamok!$A786:F2342,4,FALSE)</f>
      </c>
      <c r="E787" t="str">
        <f>DATE(YEAR(D787),MONTH(D787),DAY(D787))</f>
      </c>
      <c r="F787" t="str">
        <f>CONCATENATE(C787,E787)</f>
      </c>
      <c r="G787" t="str">
        <f>TIMEVALUE(D787)</f>
      </c>
      <c r="H787" t="str">
        <f>COUNTIF(Szamlaszamok!A:A,A787)</f>
      </c>
      <c r="I787" t="str">
        <f>SUMIFS(Szamlaszamok!E:E,Szamlaszamok!A:A,Szamlaszamok_nonduplicate!A787)</f>
      </c>
    </row>
    <row r="788" spans="1:9">
      <c r="A788" t="s">
        <v>2970</v>
      </c>
      <c r="B788" t="str">
        <f>VLOOKUP($A788,Szamlaszamok!$A787:F2343,2,FALSE)</f>
      </c>
      <c r="C788" t="str">
        <f>VLOOKUP($A788,Szamlaszamok!$A787:F2343,3,FALSE)</f>
      </c>
      <c r="D788" t="str">
        <f>VLOOKUP($A788,Szamlaszamok!$A787:F2343,4,FALSE)</f>
      </c>
      <c r="E788" t="str">
        <f>DATE(YEAR(D788),MONTH(D788),DAY(D788))</f>
      </c>
      <c r="F788" t="str">
        <f>CONCATENATE(C788,E788)</f>
      </c>
      <c r="G788" t="str">
        <f>TIMEVALUE(D788)</f>
      </c>
      <c r="H788" t="str">
        <f>COUNTIF(Szamlaszamok!A:A,A788)</f>
      </c>
      <c r="I788" t="str">
        <f>SUMIFS(Szamlaszamok!E:E,Szamlaszamok!A:A,Szamlaszamok_nonduplicate!A788)</f>
      </c>
    </row>
    <row r="789" spans="1:9">
      <c r="A789" t="s">
        <v>2974</v>
      </c>
      <c r="B789" t="str">
        <f>VLOOKUP($A789,Szamlaszamok!$A788:F2344,2,FALSE)</f>
      </c>
      <c r="C789" t="str">
        <f>VLOOKUP($A789,Szamlaszamok!$A788:F2344,3,FALSE)</f>
      </c>
      <c r="D789" t="str">
        <f>VLOOKUP($A789,Szamlaszamok!$A788:F2344,4,FALSE)</f>
      </c>
      <c r="E789" t="str">
        <f>DATE(YEAR(D789),MONTH(D789),DAY(D789))</f>
      </c>
      <c r="F789" t="str">
        <f>CONCATENATE(C789,E789)</f>
      </c>
      <c r="G789" t="str">
        <f>TIMEVALUE(D789)</f>
      </c>
      <c r="H789" t="str">
        <f>COUNTIF(Szamlaszamok!A:A,A789)</f>
      </c>
      <c r="I789" t="str">
        <f>SUMIFS(Szamlaszamok!E:E,Szamlaszamok!A:A,Szamlaszamok_nonduplicate!A789)</f>
      </c>
    </row>
    <row r="790" spans="1:9">
      <c r="A790" t="s">
        <v>2978</v>
      </c>
      <c r="B790" t="str">
        <f>VLOOKUP($A790,Szamlaszamok!$A789:F2345,2,FALSE)</f>
      </c>
      <c r="C790" t="str">
        <f>VLOOKUP($A790,Szamlaszamok!$A789:F2345,3,FALSE)</f>
      </c>
      <c r="D790" t="str">
        <f>VLOOKUP($A790,Szamlaszamok!$A789:F2345,4,FALSE)</f>
      </c>
      <c r="E790" t="str">
        <f>DATE(YEAR(D790),MONTH(D790),DAY(D790))</f>
      </c>
      <c r="F790" t="str">
        <f>CONCATENATE(C790,E790)</f>
      </c>
      <c r="G790" t="str">
        <f>TIMEVALUE(D790)</f>
      </c>
      <c r="H790" t="str">
        <f>COUNTIF(Szamlaszamok!A:A,A790)</f>
      </c>
      <c r="I790" t="str">
        <f>SUMIFS(Szamlaszamok!E:E,Szamlaszamok!A:A,Szamlaszamok_nonduplicate!A790)</f>
      </c>
    </row>
    <row r="791" spans="1:9">
      <c r="A791" t="s">
        <v>2981</v>
      </c>
      <c r="B791" t="str">
        <f>VLOOKUP($A791,Szamlaszamok!$A790:F2346,2,FALSE)</f>
      </c>
      <c r="C791" t="str">
        <f>VLOOKUP($A791,Szamlaszamok!$A790:F2346,3,FALSE)</f>
      </c>
      <c r="D791" t="str">
        <f>VLOOKUP($A791,Szamlaszamok!$A790:F2346,4,FALSE)</f>
      </c>
      <c r="E791" t="str">
        <f>DATE(YEAR(D791),MONTH(D791),DAY(D791))</f>
      </c>
      <c r="F791" t="str">
        <f>CONCATENATE(C791,E791)</f>
      </c>
      <c r="G791" t="str">
        <f>TIMEVALUE(D791)</f>
      </c>
      <c r="H791" t="str">
        <f>COUNTIF(Szamlaszamok!A:A,A791)</f>
      </c>
      <c r="I791" t="str">
        <f>SUMIFS(Szamlaszamok!E:E,Szamlaszamok!A:A,Szamlaszamok_nonduplicate!A791)</f>
      </c>
    </row>
    <row r="792" spans="1:9">
      <c r="A792" t="s">
        <v>2985</v>
      </c>
      <c r="B792" t="str">
        <f>VLOOKUP($A792,Szamlaszamok!$A791:F2347,2,FALSE)</f>
      </c>
      <c r="C792" t="str">
        <f>VLOOKUP($A792,Szamlaszamok!$A791:F2347,3,FALSE)</f>
      </c>
      <c r="D792" t="str">
        <f>VLOOKUP($A792,Szamlaszamok!$A791:F2347,4,FALSE)</f>
      </c>
      <c r="E792" t="str">
        <f>DATE(YEAR(D792),MONTH(D792),DAY(D792))</f>
      </c>
      <c r="F792" t="str">
        <f>CONCATENATE(C792,E792)</f>
      </c>
      <c r="G792" t="str">
        <f>TIMEVALUE(D792)</f>
      </c>
      <c r="H792" t="str">
        <f>COUNTIF(Szamlaszamok!A:A,A792)</f>
      </c>
      <c r="I792" t="str">
        <f>SUMIFS(Szamlaszamok!E:E,Szamlaszamok!A:A,Szamlaszamok_nonduplicate!A792)</f>
      </c>
    </row>
    <row r="793" spans="1:9">
      <c r="A793" t="s">
        <v>2989</v>
      </c>
      <c r="B793" t="str">
        <f>VLOOKUP($A793,Szamlaszamok!$A792:F2348,2,FALSE)</f>
      </c>
      <c r="C793" t="str">
        <f>VLOOKUP($A793,Szamlaszamok!$A792:F2348,3,FALSE)</f>
      </c>
      <c r="D793" t="str">
        <f>VLOOKUP($A793,Szamlaszamok!$A792:F2348,4,FALSE)</f>
      </c>
      <c r="E793" t="str">
        <f>DATE(YEAR(D793),MONTH(D793),DAY(D793))</f>
      </c>
      <c r="F793" t="str">
        <f>CONCATENATE(C793,E793)</f>
      </c>
      <c r="G793" t="str">
        <f>TIMEVALUE(D793)</f>
      </c>
      <c r="H793" t="str">
        <f>COUNTIF(Szamlaszamok!A:A,A793)</f>
      </c>
      <c r="I793" t="str">
        <f>SUMIFS(Szamlaszamok!E:E,Szamlaszamok!A:A,Szamlaszamok_nonduplicate!A793)</f>
      </c>
    </row>
    <row r="794" spans="1:9">
      <c r="A794" t="s">
        <v>2993</v>
      </c>
      <c r="B794" t="str">
        <f>VLOOKUP($A794,Szamlaszamok!$A793:F2349,2,FALSE)</f>
      </c>
      <c r="C794" t="str">
        <f>VLOOKUP($A794,Szamlaszamok!$A793:F2349,3,FALSE)</f>
      </c>
      <c r="D794" t="str">
        <f>VLOOKUP($A794,Szamlaszamok!$A793:F2349,4,FALSE)</f>
      </c>
      <c r="E794" t="str">
        <f>DATE(YEAR(D794),MONTH(D794),DAY(D794))</f>
      </c>
      <c r="F794" t="str">
        <f>CONCATENATE(C794,E794)</f>
      </c>
      <c r="G794" t="str">
        <f>TIMEVALUE(D794)</f>
      </c>
      <c r="H794" t="str">
        <f>COUNTIF(Szamlaszamok!A:A,A794)</f>
      </c>
      <c r="I794" t="str">
        <f>SUMIFS(Szamlaszamok!E:E,Szamlaszamok!A:A,Szamlaszamok_nonduplicate!A794)</f>
      </c>
    </row>
    <row r="795" spans="1:9">
      <c r="A795" t="s">
        <v>2997</v>
      </c>
      <c r="B795" t="str">
        <f>VLOOKUP($A795,Szamlaszamok!$A794:F2350,2,FALSE)</f>
      </c>
      <c r="C795" t="str">
        <f>VLOOKUP($A795,Szamlaszamok!$A794:F2350,3,FALSE)</f>
      </c>
      <c r="D795" t="str">
        <f>VLOOKUP($A795,Szamlaszamok!$A794:F2350,4,FALSE)</f>
      </c>
      <c r="E795" t="str">
        <f>DATE(YEAR(D795),MONTH(D795),DAY(D795))</f>
      </c>
      <c r="F795" t="str">
        <f>CONCATENATE(C795,E795)</f>
      </c>
      <c r="G795" t="str">
        <f>TIMEVALUE(D795)</f>
      </c>
      <c r="H795" t="str">
        <f>COUNTIF(Szamlaszamok!A:A,A795)</f>
      </c>
      <c r="I795" t="str">
        <f>SUMIFS(Szamlaszamok!E:E,Szamlaszamok!A:A,Szamlaszamok_nonduplicate!A795)</f>
      </c>
    </row>
    <row r="796" spans="1:9">
      <c r="A796" t="s">
        <v>3001</v>
      </c>
      <c r="B796" t="str">
        <f>VLOOKUP($A796,Szamlaszamok!$A795:F2351,2,FALSE)</f>
      </c>
      <c r="C796" t="str">
        <f>VLOOKUP($A796,Szamlaszamok!$A795:F2351,3,FALSE)</f>
      </c>
      <c r="D796" t="str">
        <f>VLOOKUP($A796,Szamlaszamok!$A795:F2351,4,FALSE)</f>
      </c>
      <c r="E796" t="str">
        <f>DATE(YEAR(D796),MONTH(D796),DAY(D796))</f>
      </c>
      <c r="F796" t="str">
        <f>CONCATENATE(C796,E796)</f>
      </c>
      <c r="G796" t="str">
        <f>TIMEVALUE(D796)</f>
      </c>
      <c r="H796" t="str">
        <f>COUNTIF(Szamlaszamok!A:A,A796)</f>
      </c>
      <c r="I796" t="str">
        <f>SUMIFS(Szamlaszamok!E:E,Szamlaszamok!A:A,Szamlaszamok_nonduplicate!A796)</f>
      </c>
    </row>
    <row r="797" spans="1:9">
      <c r="A797" t="s">
        <v>3005</v>
      </c>
      <c r="B797" t="str">
        <f>VLOOKUP($A797,Szamlaszamok!$A796:F2352,2,FALSE)</f>
      </c>
      <c r="C797" t="str">
        <f>VLOOKUP($A797,Szamlaszamok!$A796:F2352,3,FALSE)</f>
      </c>
      <c r="D797" t="str">
        <f>VLOOKUP($A797,Szamlaszamok!$A796:F2352,4,FALSE)</f>
      </c>
      <c r="E797" t="str">
        <f>DATE(YEAR(D797),MONTH(D797),DAY(D797))</f>
      </c>
      <c r="F797" t="str">
        <f>CONCATENATE(C797,E797)</f>
      </c>
      <c r="G797" t="str">
        <f>TIMEVALUE(D797)</f>
      </c>
      <c r="H797" t="str">
        <f>COUNTIF(Szamlaszamok!A:A,A797)</f>
      </c>
      <c r="I797" t="str">
        <f>SUMIFS(Szamlaszamok!E:E,Szamlaszamok!A:A,Szamlaszamok_nonduplicate!A797)</f>
      </c>
    </row>
    <row r="798" spans="1:9">
      <c r="A798" t="s">
        <v>3009</v>
      </c>
      <c r="B798" t="str">
        <f>VLOOKUP($A798,Szamlaszamok!$A797:F2353,2,FALSE)</f>
      </c>
      <c r="C798" t="str">
        <f>VLOOKUP($A798,Szamlaszamok!$A797:F2353,3,FALSE)</f>
      </c>
      <c r="D798" t="str">
        <f>VLOOKUP($A798,Szamlaszamok!$A797:F2353,4,FALSE)</f>
      </c>
      <c r="E798" t="str">
        <f>DATE(YEAR(D798),MONTH(D798),DAY(D798))</f>
      </c>
      <c r="F798" t="str">
        <f>CONCATENATE(C798,E798)</f>
      </c>
      <c r="G798" t="str">
        <f>TIMEVALUE(D798)</f>
      </c>
      <c r="H798" t="str">
        <f>COUNTIF(Szamlaszamok!A:A,A798)</f>
      </c>
      <c r="I798" t="str">
        <f>SUMIFS(Szamlaszamok!E:E,Szamlaszamok!A:A,Szamlaszamok_nonduplicate!A798)</f>
      </c>
    </row>
    <row r="799" spans="1:9">
      <c r="A799" t="s">
        <v>3012</v>
      </c>
      <c r="B799" t="str">
        <f>VLOOKUP($A799,Szamlaszamok!$A798:F2354,2,FALSE)</f>
      </c>
      <c r="C799" t="str">
        <f>VLOOKUP($A799,Szamlaszamok!$A798:F2354,3,FALSE)</f>
      </c>
      <c r="D799" t="str">
        <f>VLOOKUP($A799,Szamlaszamok!$A798:F2354,4,FALSE)</f>
      </c>
      <c r="E799" t="str">
        <f>DATE(YEAR(D799),MONTH(D799),DAY(D799))</f>
      </c>
      <c r="F799" t="str">
        <f>CONCATENATE(C799,E799)</f>
      </c>
      <c r="G799" t="str">
        <f>TIMEVALUE(D799)</f>
      </c>
      <c r="H799" t="str">
        <f>COUNTIF(Szamlaszamok!A:A,A799)</f>
      </c>
      <c r="I799" t="str">
        <f>SUMIFS(Szamlaszamok!E:E,Szamlaszamok!A:A,Szamlaszamok_nonduplicate!A799)</f>
      </c>
    </row>
    <row r="800" spans="1:9">
      <c r="A800" t="s">
        <v>3016</v>
      </c>
      <c r="B800" t="str">
        <f>VLOOKUP($A800,Szamlaszamok!$A799:F2355,2,FALSE)</f>
      </c>
      <c r="C800" t="str">
        <f>VLOOKUP($A800,Szamlaszamok!$A799:F2355,3,FALSE)</f>
      </c>
      <c r="D800" t="str">
        <f>VLOOKUP($A800,Szamlaszamok!$A799:F2355,4,FALSE)</f>
      </c>
      <c r="E800" t="str">
        <f>DATE(YEAR(D800),MONTH(D800),DAY(D800))</f>
      </c>
      <c r="F800" t="str">
        <f>CONCATENATE(C800,E800)</f>
      </c>
      <c r="G800" t="str">
        <f>TIMEVALUE(D800)</f>
      </c>
      <c r="H800" t="str">
        <f>COUNTIF(Szamlaszamok!A:A,A800)</f>
      </c>
      <c r="I800" t="str">
        <f>SUMIFS(Szamlaszamok!E:E,Szamlaszamok!A:A,Szamlaszamok_nonduplicate!A800)</f>
      </c>
    </row>
    <row r="801" spans="1:9">
      <c r="A801" t="s">
        <v>3020</v>
      </c>
      <c r="B801" t="str">
        <f>VLOOKUP($A801,Szamlaszamok!$A800:F2356,2,FALSE)</f>
      </c>
      <c r="C801" t="str">
        <f>VLOOKUP($A801,Szamlaszamok!$A800:F2356,3,FALSE)</f>
      </c>
      <c r="D801" t="str">
        <f>VLOOKUP($A801,Szamlaszamok!$A800:F2356,4,FALSE)</f>
      </c>
      <c r="E801" t="str">
        <f>DATE(YEAR(D801),MONTH(D801),DAY(D801))</f>
      </c>
      <c r="F801" t="str">
        <f>CONCATENATE(C801,E801)</f>
      </c>
      <c r="G801" t="str">
        <f>TIMEVALUE(D801)</f>
      </c>
      <c r="H801" t="str">
        <f>COUNTIF(Szamlaszamok!A:A,A801)</f>
      </c>
      <c r="I801" t="str">
        <f>SUMIFS(Szamlaszamok!E:E,Szamlaszamok!A:A,Szamlaszamok_nonduplicate!A801)</f>
      </c>
    </row>
    <row r="802" spans="1:9">
      <c r="A802" t="s">
        <v>3024</v>
      </c>
      <c r="B802" t="str">
        <f>VLOOKUP($A802,Szamlaszamok!$A801:F2357,2,FALSE)</f>
      </c>
      <c r="C802" t="str">
        <f>VLOOKUP($A802,Szamlaszamok!$A801:F2357,3,FALSE)</f>
      </c>
      <c r="D802" t="str">
        <f>VLOOKUP($A802,Szamlaszamok!$A801:F2357,4,FALSE)</f>
      </c>
      <c r="E802" t="str">
        <f>DATE(YEAR(D802),MONTH(D802),DAY(D802))</f>
      </c>
      <c r="F802" t="str">
        <f>CONCATENATE(C802,E802)</f>
      </c>
      <c r="G802" t="str">
        <f>TIMEVALUE(D802)</f>
      </c>
      <c r="H802" t="str">
        <f>COUNTIF(Szamlaszamok!A:A,A802)</f>
      </c>
      <c r="I802" t="str">
        <f>SUMIFS(Szamlaszamok!E:E,Szamlaszamok!A:A,Szamlaszamok_nonduplicate!A802)</f>
      </c>
    </row>
    <row r="803" spans="1:9">
      <c r="A803" t="s">
        <v>3028</v>
      </c>
      <c r="B803" t="str">
        <f>VLOOKUP($A803,Szamlaszamok!$A802:F2358,2,FALSE)</f>
      </c>
      <c r="C803" t="str">
        <f>VLOOKUP($A803,Szamlaszamok!$A802:F2358,3,FALSE)</f>
      </c>
      <c r="D803" t="str">
        <f>VLOOKUP($A803,Szamlaszamok!$A802:F2358,4,FALSE)</f>
      </c>
      <c r="E803" t="str">
        <f>DATE(YEAR(D803),MONTH(D803),DAY(D803))</f>
      </c>
      <c r="F803" t="str">
        <f>CONCATENATE(C803,E803)</f>
      </c>
      <c r="G803" t="str">
        <f>TIMEVALUE(D803)</f>
      </c>
      <c r="H803" t="str">
        <f>COUNTIF(Szamlaszamok!A:A,A803)</f>
      </c>
      <c r="I803" t="str">
        <f>SUMIFS(Szamlaszamok!E:E,Szamlaszamok!A:A,Szamlaszamok_nonduplicate!A803)</f>
      </c>
    </row>
    <row r="804" spans="1:9">
      <c r="A804" t="s">
        <v>3030</v>
      </c>
      <c r="B804" t="str">
        <f>VLOOKUP($A804,Szamlaszamok!$A803:F2359,2,FALSE)</f>
      </c>
      <c r="C804" t="str">
        <f>VLOOKUP($A804,Szamlaszamok!$A803:F2359,3,FALSE)</f>
      </c>
      <c r="D804" t="str">
        <f>VLOOKUP($A804,Szamlaszamok!$A803:F2359,4,FALSE)</f>
      </c>
      <c r="E804" t="str">
        <f>DATE(YEAR(D804),MONTH(D804),DAY(D804))</f>
      </c>
      <c r="F804" t="str">
        <f>CONCATENATE(C804,E804)</f>
      </c>
      <c r="G804" t="str">
        <f>TIMEVALUE(D804)</f>
      </c>
      <c r="H804" t="str">
        <f>COUNTIF(Szamlaszamok!A:A,A804)</f>
      </c>
      <c r="I804" t="str">
        <f>SUMIFS(Szamlaszamok!E:E,Szamlaszamok!A:A,Szamlaszamok_nonduplicate!A804)</f>
      </c>
    </row>
    <row r="805" spans="1:9">
      <c r="A805" t="s">
        <v>3034</v>
      </c>
      <c r="B805" t="str">
        <f>VLOOKUP($A805,Szamlaszamok!$A804:F2360,2,FALSE)</f>
      </c>
      <c r="C805" t="str">
        <f>VLOOKUP($A805,Szamlaszamok!$A804:F2360,3,FALSE)</f>
      </c>
      <c r="D805" t="str">
        <f>VLOOKUP($A805,Szamlaszamok!$A804:F2360,4,FALSE)</f>
      </c>
      <c r="E805" t="str">
        <f>DATE(YEAR(D805),MONTH(D805),DAY(D805))</f>
      </c>
      <c r="F805" t="str">
        <f>CONCATENATE(C805,E805)</f>
      </c>
      <c r="G805" t="str">
        <f>TIMEVALUE(D805)</f>
      </c>
      <c r="H805" t="str">
        <f>COUNTIF(Szamlaszamok!A:A,A805)</f>
      </c>
      <c r="I805" t="str">
        <f>SUMIFS(Szamlaszamok!E:E,Szamlaszamok!A:A,Szamlaszamok_nonduplicate!A805)</f>
      </c>
    </row>
    <row r="806" spans="1:9">
      <c r="A806" t="s">
        <v>3036</v>
      </c>
      <c r="B806" t="str">
        <f>VLOOKUP($A806,Szamlaszamok!$A805:F2361,2,FALSE)</f>
      </c>
      <c r="C806" t="str">
        <f>VLOOKUP($A806,Szamlaszamok!$A805:F2361,3,FALSE)</f>
      </c>
      <c r="D806" t="str">
        <f>VLOOKUP($A806,Szamlaszamok!$A805:F2361,4,FALSE)</f>
      </c>
      <c r="E806" t="str">
        <f>DATE(YEAR(D806),MONTH(D806),DAY(D806))</f>
      </c>
      <c r="F806" t="str">
        <f>CONCATENATE(C806,E806)</f>
      </c>
      <c r="G806" t="str">
        <f>TIMEVALUE(D806)</f>
      </c>
      <c r="H806" t="str">
        <f>COUNTIF(Szamlaszamok!A:A,A806)</f>
      </c>
      <c r="I806" t="str">
        <f>SUMIFS(Szamlaszamok!E:E,Szamlaszamok!A:A,Szamlaszamok_nonduplicate!A806)</f>
      </c>
    </row>
    <row r="807" spans="1:9">
      <c r="A807" t="s">
        <v>3040</v>
      </c>
      <c r="B807" t="str">
        <f>VLOOKUP($A807,Szamlaszamok!$A806:F2362,2,FALSE)</f>
      </c>
      <c r="C807" t="str">
        <f>VLOOKUP($A807,Szamlaszamok!$A806:F2362,3,FALSE)</f>
      </c>
      <c r="D807" t="str">
        <f>VLOOKUP($A807,Szamlaszamok!$A806:F2362,4,FALSE)</f>
      </c>
      <c r="E807" t="str">
        <f>DATE(YEAR(D807),MONTH(D807),DAY(D807))</f>
      </c>
      <c r="F807" t="str">
        <f>CONCATENATE(C807,E807)</f>
      </c>
      <c r="G807" t="str">
        <f>TIMEVALUE(D807)</f>
      </c>
      <c r="H807" t="str">
        <f>COUNTIF(Szamlaszamok!A:A,A807)</f>
      </c>
      <c r="I807" t="str">
        <f>SUMIFS(Szamlaszamok!E:E,Szamlaszamok!A:A,Szamlaszamok_nonduplicate!A807)</f>
      </c>
    </row>
    <row r="808" spans="1:9">
      <c r="A808" t="s">
        <v>3043</v>
      </c>
      <c r="B808" t="str">
        <f>VLOOKUP($A808,Szamlaszamok!$A807:F2363,2,FALSE)</f>
      </c>
      <c r="C808" t="str">
        <f>VLOOKUP($A808,Szamlaszamok!$A807:F2363,3,FALSE)</f>
      </c>
      <c r="D808" t="str">
        <f>VLOOKUP($A808,Szamlaszamok!$A807:F2363,4,FALSE)</f>
      </c>
      <c r="E808" t="str">
        <f>DATE(YEAR(D808),MONTH(D808),DAY(D808))</f>
      </c>
      <c r="F808" t="str">
        <f>CONCATENATE(C808,E808)</f>
      </c>
      <c r="G808" t="str">
        <f>TIMEVALUE(D808)</f>
      </c>
      <c r="H808" t="str">
        <f>COUNTIF(Szamlaszamok!A:A,A808)</f>
      </c>
      <c r="I808" t="str">
        <f>SUMIFS(Szamlaszamok!E:E,Szamlaszamok!A:A,Szamlaszamok_nonduplicate!A808)</f>
      </c>
    </row>
    <row r="809" spans="1:9">
      <c r="A809" t="s">
        <v>3047</v>
      </c>
      <c r="B809" t="str">
        <f>VLOOKUP($A809,Szamlaszamok!$A808:F2364,2,FALSE)</f>
      </c>
      <c r="C809" t="str">
        <f>VLOOKUP($A809,Szamlaszamok!$A808:F2364,3,FALSE)</f>
      </c>
      <c r="D809" t="str">
        <f>VLOOKUP($A809,Szamlaszamok!$A808:F2364,4,FALSE)</f>
      </c>
      <c r="E809" t="str">
        <f>DATE(YEAR(D809),MONTH(D809),DAY(D809))</f>
      </c>
      <c r="F809" t="str">
        <f>CONCATENATE(C809,E809)</f>
      </c>
      <c r="G809" t="str">
        <f>TIMEVALUE(D809)</f>
      </c>
      <c r="H809" t="str">
        <f>COUNTIF(Szamlaszamok!A:A,A809)</f>
      </c>
      <c r="I809" t="str">
        <f>SUMIFS(Szamlaszamok!E:E,Szamlaszamok!A:A,Szamlaszamok_nonduplicate!A809)</f>
      </c>
    </row>
    <row r="810" spans="1:9">
      <c r="A810" t="s">
        <v>3051</v>
      </c>
      <c r="B810" t="str">
        <f>VLOOKUP($A810,Szamlaszamok!$A809:F2365,2,FALSE)</f>
      </c>
      <c r="C810" t="str">
        <f>VLOOKUP($A810,Szamlaszamok!$A809:F2365,3,FALSE)</f>
      </c>
      <c r="D810" t="str">
        <f>VLOOKUP($A810,Szamlaszamok!$A809:F2365,4,FALSE)</f>
      </c>
      <c r="E810" t="str">
        <f>DATE(YEAR(D810),MONTH(D810),DAY(D810))</f>
      </c>
      <c r="F810" t="str">
        <f>CONCATENATE(C810,E810)</f>
      </c>
      <c r="G810" t="str">
        <f>TIMEVALUE(D810)</f>
      </c>
      <c r="H810" t="str">
        <f>COUNTIF(Szamlaszamok!A:A,A810)</f>
      </c>
      <c r="I810" t="str">
        <f>SUMIFS(Szamlaszamok!E:E,Szamlaszamok!A:A,Szamlaszamok_nonduplicate!A810)</f>
      </c>
    </row>
    <row r="811" spans="1:9">
      <c r="A811" t="s">
        <v>3055</v>
      </c>
      <c r="B811" t="str">
        <f>VLOOKUP($A811,Szamlaszamok!$A810:F2366,2,FALSE)</f>
      </c>
      <c r="C811" t="str">
        <f>VLOOKUP($A811,Szamlaszamok!$A810:F2366,3,FALSE)</f>
      </c>
      <c r="D811" t="str">
        <f>VLOOKUP($A811,Szamlaszamok!$A810:F2366,4,FALSE)</f>
      </c>
      <c r="E811" t="str">
        <f>DATE(YEAR(D811),MONTH(D811),DAY(D811))</f>
      </c>
      <c r="F811" t="str">
        <f>CONCATENATE(C811,E811)</f>
      </c>
      <c r="G811" t="str">
        <f>TIMEVALUE(D811)</f>
      </c>
      <c r="H811" t="str">
        <f>COUNTIF(Szamlaszamok!A:A,A811)</f>
      </c>
      <c r="I811" t="str">
        <f>SUMIFS(Szamlaszamok!E:E,Szamlaszamok!A:A,Szamlaszamok_nonduplicate!A811)</f>
      </c>
    </row>
    <row r="812" spans="1:9">
      <c r="A812" t="s">
        <v>3059</v>
      </c>
      <c r="B812" t="str">
        <f>VLOOKUP($A812,Szamlaszamok!$A811:F2367,2,FALSE)</f>
      </c>
      <c r="C812" t="str">
        <f>VLOOKUP($A812,Szamlaszamok!$A811:F2367,3,FALSE)</f>
      </c>
      <c r="D812" t="str">
        <f>VLOOKUP($A812,Szamlaszamok!$A811:F2367,4,FALSE)</f>
      </c>
      <c r="E812" t="str">
        <f>DATE(YEAR(D812),MONTH(D812),DAY(D812))</f>
      </c>
      <c r="F812" t="str">
        <f>CONCATENATE(C812,E812)</f>
      </c>
      <c r="G812" t="str">
        <f>TIMEVALUE(D812)</f>
      </c>
      <c r="H812" t="str">
        <f>COUNTIF(Szamlaszamok!A:A,A812)</f>
      </c>
      <c r="I812" t="str">
        <f>SUMIFS(Szamlaszamok!E:E,Szamlaszamok!A:A,Szamlaszamok_nonduplicate!A812)</f>
      </c>
    </row>
    <row r="813" spans="1:9">
      <c r="A813" t="s">
        <v>3062</v>
      </c>
      <c r="B813" t="str">
        <f>VLOOKUP($A813,Szamlaszamok!$A812:F2368,2,FALSE)</f>
      </c>
      <c r="C813" t="str">
        <f>VLOOKUP($A813,Szamlaszamok!$A812:F2368,3,FALSE)</f>
      </c>
      <c r="D813" t="str">
        <f>VLOOKUP($A813,Szamlaszamok!$A812:F2368,4,FALSE)</f>
      </c>
      <c r="E813" t="str">
        <f>DATE(YEAR(D813),MONTH(D813),DAY(D813))</f>
      </c>
      <c r="F813" t="str">
        <f>CONCATENATE(C813,E813)</f>
      </c>
      <c r="G813" t="str">
        <f>TIMEVALUE(D813)</f>
      </c>
      <c r="H813" t="str">
        <f>COUNTIF(Szamlaszamok!A:A,A813)</f>
      </c>
      <c r="I813" t="str">
        <f>SUMIFS(Szamlaszamok!E:E,Szamlaszamok!A:A,Szamlaszamok_nonduplicate!A813)</f>
      </c>
    </row>
    <row r="814" spans="1:9">
      <c r="A814" t="s">
        <v>3066</v>
      </c>
      <c r="B814" t="str">
        <f>VLOOKUP($A814,Szamlaszamok!$A813:F2369,2,FALSE)</f>
      </c>
      <c r="C814" t="str">
        <f>VLOOKUP($A814,Szamlaszamok!$A813:F2369,3,FALSE)</f>
      </c>
      <c r="D814" t="str">
        <f>VLOOKUP($A814,Szamlaszamok!$A813:F2369,4,FALSE)</f>
      </c>
      <c r="E814" t="str">
        <f>DATE(YEAR(D814),MONTH(D814),DAY(D814))</f>
      </c>
      <c r="F814" t="str">
        <f>CONCATENATE(C814,E814)</f>
      </c>
      <c r="G814" t="str">
        <f>TIMEVALUE(D814)</f>
      </c>
      <c r="H814" t="str">
        <f>COUNTIF(Szamlaszamok!A:A,A814)</f>
      </c>
      <c r="I814" t="str">
        <f>SUMIFS(Szamlaszamok!E:E,Szamlaszamok!A:A,Szamlaszamok_nonduplicate!A814)</f>
      </c>
    </row>
    <row r="815" spans="1:9">
      <c r="A815" t="s">
        <v>3068</v>
      </c>
      <c r="B815" t="str">
        <f>VLOOKUP($A815,Szamlaszamok!$A814:F2370,2,FALSE)</f>
      </c>
      <c r="C815" t="str">
        <f>VLOOKUP($A815,Szamlaszamok!$A814:F2370,3,FALSE)</f>
      </c>
      <c r="D815" t="str">
        <f>VLOOKUP($A815,Szamlaszamok!$A814:F2370,4,FALSE)</f>
      </c>
      <c r="E815" t="str">
        <f>DATE(YEAR(D815),MONTH(D815),DAY(D815))</f>
      </c>
      <c r="F815" t="str">
        <f>CONCATENATE(C815,E815)</f>
      </c>
      <c r="G815" t="str">
        <f>TIMEVALUE(D815)</f>
      </c>
      <c r="H815" t="str">
        <f>COUNTIF(Szamlaszamok!A:A,A815)</f>
      </c>
      <c r="I815" t="str">
        <f>SUMIFS(Szamlaszamok!E:E,Szamlaszamok!A:A,Szamlaszamok_nonduplicate!A815)</f>
      </c>
    </row>
    <row r="816" spans="1:9">
      <c r="A816" t="s">
        <v>3072</v>
      </c>
      <c r="B816" t="str">
        <f>VLOOKUP($A816,Szamlaszamok!$A815:F2371,2,FALSE)</f>
      </c>
      <c r="C816" t="str">
        <f>VLOOKUP($A816,Szamlaszamok!$A815:F2371,3,FALSE)</f>
      </c>
      <c r="D816" t="str">
        <f>VLOOKUP($A816,Szamlaszamok!$A815:F2371,4,FALSE)</f>
      </c>
      <c r="E816" t="str">
        <f>DATE(YEAR(D816),MONTH(D816),DAY(D816))</f>
      </c>
      <c r="F816" t="str">
        <f>CONCATENATE(C816,E816)</f>
      </c>
      <c r="G816" t="str">
        <f>TIMEVALUE(D816)</f>
      </c>
      <c r="H816" t="str">
        <f>COUNTIF(Szamlaszamok!A:A,A816)</f>
      </c>
      <c r="I816" t="str">
        <f>SUMIFS(Szamlaszamok!E:E,Szamlaszamok!A:A,Szamlaszamok_nonduplicate!A816)</f>
      </c>
    </row>
    <row r="817" spans="1:9">
      <c r="A817" t="s">
        <v>3076</v>
      </c>
      <c r="B817" t="str">
        <f>VLOOKUP($A817,Szamlaszamok!$A816:F2372,2,FALSE)</f>
      </c>
      <c r="C817" t="str">
        <f>VLOOKUP($A817,Szamlaszamok!$A816:F2372,3,FALSE)</f>
      </c>
      <c r="D817" t="str">
        <f>VLOOKUP($A817,Szamlaszamok!$A816:F2372,4,FALSE)</f>
      </c>
      <c r="E817" t="str">
        <f>DATE(YEAR(D817),MONTH(D817),DAY(D817))</f>
      </c>
      <c r="F817" t="str">
        <f>CONCATENATE(C817,E817)</f>
      </c>
      <c r="G817" t="str">
        <f>TIMEVALUE(D817)</f>
      </c>
      <c r="H817" t="str">
        <f>COUNTIF(Szamlaszamok!A:A,A817)</f>
      </c>
      <c r="I817" t="str">
        <f>SUMIFS(Szamlaszamok!E:E,Szamlaszamok!A:A,Szamlaszamok_nonduplicate!A817)</f>
      </c>
    </row>
    <row r="818" spans="1:9">
      <c r="A818" t="s">
        <v>3079</v>
      </c>
      <c r="B818" t="str">
        <f>VLOOKUP($A818,Szamlaszamok!$A817:F2373,2,FALSE)</f>
      </c>
      <c r="C818" t="str">
        <f>VLOOKUP($A818,Szamlaszamok!$A817:F2373,3,FALSE)</f>
      </c>
      <c r="D818" t="str">
        <f>VLOOKUP($A818,Szamlaszamok!$A817:F2373,4,FALSE)</f>
      </c>
      <c r="E818" t="str">
        <f>DATE(YEAR(D818),MONTH(D818),DAY(D818))</f>
      </c>
      <c r="F818" t="str">
        <f>CONCATENATE(C818,E818)</f>
      </c>
      <c r="G818" t="str">
        <f>TIMEVALUE(D818)</f>
      </c>
      <c r="H818" t="str">
        <f>COUNTIF(Szamlaszamok!A:A,A818)</f>
      </c>
      <c r="I818" t="str">
        <f>SUMIFS(Szamlaszamok!E:E,Szamlaszamok!A:A,Szamlaszamok_nonduplicate!A818)</f>
      </c>
    </row>
    <row r="819" spans="1:9">
      <c r="A819" t="s">
        <v>3083</v>
      </c>
      <c r="B819" t="str">
        <f>VLOOKUP($A819,Szamlaszamok!$A818:F2374,2,FALSE)</f>
      </c>
      <c r="C819" t="str">
        <f>VLOOKUP($A819,Szamlaszamok!$A818:F2374,3,FALSE)</f>
      </c>
      <c r="D819" t="str">
        <f>VLOOKUP($A819,Szamlaszamok!$A818:F2374,4,FALSE)</f>
      </c>
      <c r="E819" t="str">
        <f>DATE(YEAR(D819),MONTH(D819),DAY(D819))</f>
      </c>
      <c r="F819" t="str">
        <f>CONCATENATE(C819,E819)</f>
      </c>
      <c r="G819" t="str">
        <f>TIMEVALUE(D819)</f>
      </c>
      <c r="H819" t="str">
        <f>COUNTIF(Szamlaszamok!A:A,A819)</f>
      </c>
      <c r="I819" t="str">
        <f>SUMIFS(Szamlaszamok!E:E,Szamlaszamok!A:A,Szamlaszamok_nonduplicate!A819)</f>
      </c>
    </row>
    <row r="820" spans="1:9">
      <c r="A820" t="s">
        <v>3087</v>
      </c>
      <c r="B820" t="str">
        <f>VLOOKUP($A820,Szamlaszamok!$A819:F2375,2,FALSE)</f>
      </c>
      <c r="C820" t="str">
        <f>VLOOKUP($A820,Szamlaszamok!$A819:F2375,3,FALSE)</f>
      </c>
      <c r="D820" t="str">
        <f>VLOOKUP($A820,Szamlaszamok!$A819:F2375,4,FALSE)</f>
      </c>
      <c r="E820" t="str">
        <f>DATE(YEAR(D820),MONTH(D820),DAY(D820))</f>
      </c>
      <c r="F820" t="str">
        <f>CONCATENATE(C820,E820)</f>
      </c>
      <c r="G820" t="str">
        <f>TIMEVALUE(D820)</f>
      </c>
      <c r="H820" t="str">
        <f>COUNTIF(Szamlaszamok!A:A,A820)</f>
      </c>
      <c r="I820" t="str">
        <f>SUMIFS(Szamlaszamok!E:E,Szamlaszamok!A:A,Szamlaszamok_nonduplicate!A820)</f>
      </c>
    </row>
    <row r="821" spans="1:9">
      <c r="A821" t="s">
        <v>3091</v>
      </c>
      <c r="B821" t="str">
        <f>VLOOKUP($A821,Szamlaszamok!$A820:F2376,2,FALSE)</f>
      </c>
      <c r="C821" t="str">
        <f>VLOOKUP($A821,Szamlaszamok!$A820:F2376,3,FALSE)</f>
      </c>
      <c r="D821" t="str">
        <f>VLOOKUP($A821,Szamlaszamok!$A820:F2376,4,FALSE)</f>
      </c>
      <c r="E821" t="str">
        <f>DATE(YEAR(D821),MONTH(D821),DAY(D821))</f>
      </c>
      <c r="F821" t="str">
        <f>CONCATENATE(C821,E821)</f>
      </c>
      <c r="G821" t="str">
        <f>TIMEVALUE(D821)</f>
      </c>
      <c r="H821" t="str">
        <f>COUNTIF(Szamlaszamok!A:A,A821)</f>
      </c>
      <c r="I821" t="str">
        <f>SUMIFS(Szamlaszamok!E:E,Szamlaszamok!A:A,Szamlaszamok_nonduplicate!A821)</f>
      </c>
    </row>
    <row r="822" spans="1:9">
      <c r="A822" t="s">
        <v>3094</v>
      </c>
      <c r="B822" t="str">
        <f>VLOOKUP($A822,Szamlaszamok!$A821:F2377,2,FALSE)</f>
      </c>
      <c r="C822" t="str">
        <f>VLOOKUP($A822,Szamlaszamok!$A821:F2377,3,FALSE)</f>
      </c>
      <c r="D822" t="str">
        <f>VLOOKUP($A822,Szamlaszamok!$A821:F2377,4,FALSE)</f>
      </c>
      <c r="E822" t="str">
        <f>DATE(YEAR(D822),MONTH(D822),DAY(D822))</f>
      </c>
      <c r="F822" t="str">
        <f>CONCATENATE(C822,E822)</f>
      </c>
      <c r="G822" t="str">
        <f>TIMEVALUE(D822)</f>
      </c>
      <c r="H822" t="str">
        <f>COUNTIF(Szamlaszamok!A:A,A822)</f>
      </c>
      <c r="I822" t="str">
        <f>SUMIFS(Szamlaszamok!E:E,Szamlaszamok!A:A,Szamlaszamok_nonduplicate!A822)</f>
      </c>
    </row>
    <row r="823" spans="1:9">
      <c r="A823" t="s">
        <v>3098</v>
      </c>
      <c r="B823" t="str">
        <f>VLOOKUP($A823,Szamlaszamok!$A822:F2378,2,FALSE)</f>
      </c>
      <c r="C823" t="str">
        <f>VLOOKUP($A823,Szamlaszamok!$A822:F2378,3,FALSE)</f>
      </c>
      <c r="D823" t="str">
        <f>VLOOKUP($A823,Szamlaszamok!$A822:F2378,4,FALSE)</f>
      </c>
      <c r="E823" t="str">
        <f>DATE(YEAR(D823),MONTH(D823),DAY(D823))</f>
      </c>
      <c r="F823" t="str">
        <f>CONCATENATE(C823,E823)</f>
      </c>
      <c r="G823" t="str">
        <f>TIMEVALUE(D823)</f>
      </c>
      <c r="H823" t="str">
        <f>COUNTIF(Szamlaszamok!A:A,A823)</f>
      </c>
      <c r="I823" t="str">
        <f>SUMIFS(Szamlaszamok!E:E,Szamlaszamok!A:A,Szamlaszamok_nonduplicate!A823)</f>
      </c>
    </row>
    <row r="824" spans="1:9">
      <c r="A824" t="s">
        <v>3103</v>
      </c>
      <c r="B824" t="str">
        <f>VLOOKUP($A824,Szamlaszamok!$A823:F2379,2,FALSE)</f>
      </c>
      <c r="C824" t="str">
        <f>VLOOKUP($A824,Szamlaszamok!$A823:F2379,3,FALSE)</f>
      </c>
      <c r="D824" t="str">
        <f>VLOOKUP($A824,Szamlaszamok!$A823:F2379,4,FALSE)</f>
      </c>
      <c r="E824" t="str">
        <f>DATE(YEAR(D824),MONTH(D824),DAY(D824))</f>
      </c>
      <c r="F824" t="str">
        <f>CONCATENATE(C824,E824)</f>
      </c>
      <c r="G824" t="str">
        <f>TIMEVALUE(D824)</f>
      </c>
      <c r="H824" t="str">
        <f>COUNTIF(Szamlaszamok!A:A,A824)</f>
      </c>
      <c r="I824" t="str">
        <f>SUMIFS(Szamlaszamok!E:E,Szamlaszamok!A:A,Szamlaszamok_nonduplicate!A824)</f>
      </c>
    </row>
    <row r="825" spans="1:9">
      <c r="A825" t="s">
        <v>3106</v>
      </c>
      <c r="B825" t="str">
        <f>VLOOKUP($A825,Szamlaszamok!$A824:F2380,2,FALSE)</f>
      </c>
      <c r="C825" t="str">
        <f>VLOOKUP($A825,Szamlaszamok!$A824:F2380,3,FALSE)</f>
      </c>
      <c r="D825" t="str">
        <f>VLOOKUP($A825,Szamlaszamok!$A824:F2380,4,FALSE)</f>
      </c>
      <c r="E825" t="str">
        <f>DATE(YEAR(D825),MONTH(D825),DAY(D825))</f>
      </c>
      <c r="F825" t="str">
        <f>CONCATENATE(C825,E825)</f>
      </c>
      <c r="G825" t="str">
        <f>TIMEVALUE(D825)</f>
      </c>
      <c r="H825" t="str">
        <f>COUNTIF(Szamlaszamok!A:A,A825)</f>
      </c>
      <c r="I825" t="str">
        <f>SUMIFS(Szamlaszamok!E:E,Szamlaszamok!A:A,Szamlaszamok_nonduplicate!A825)</f>
      </c>
    </row>
    <row r="826" spans="1:9">
      <c r="A826" t="s">
        <v>3110</v>
      </c>
      <c r="B826" t="str">
        <f>VLOOKUP($A826,Szamlaszamok!$A825:F2381,2,FALSE)</f>
      </c>
      <c r="C826" t="str">
        <f>VLOOKUP($A826,Szamlaszamok!$A825:F2381,3,FALSE)</f>
      </c>
      <c r="D826" t="str">
        <f>VLOOKUP($A826,Szamlaszamok!$A825:F2381,4,FALSE)</f>
      </c>
      <c r="E826" t="str">
        <f>DATE(YEAR(D826),MONTH(D826),DAY(D826))</f>
      </c>
      <c r="F826" t="str">
        <f>CONCATENATE(C826,E826)</f>
      </c>
      <c r="G826" t="str">
        <f>TIMEVALUE(D826)</f>
      </c>
      <c r="H826" t="str">
        <f>COUNTIF(Szamlaszamok!A:A,A826)</f>
      </c>
      <c r="I826" t="str">
        <f>SUMIFS(Szamlaszamok!E:E,Szamlaszamok!A:A,Szamlaszamok_nonduplicate!A826)</f>
      </c>
    </row>
    <row r="827" spans="1:9">
      <c r="A827" t="s">
        <v>3114</v>
      </c>
      <c r="B827" t="str">
        <f>VLOOKUP($A827,Szamlaszamok!$A826:F2382,2,FALSE)</f>
      </c>
      <c r="C827" t="str">
        <f>VLOOKUP($A827,Szamlaszamok!$A826:F2382,3,FALSE)</f>
      </c>
      <c r="D827" t="str">
        <f>VLOOKUP($A827,Szamlaszamok!$A826:F2382,4,FALSE)</f>
      </c>
      <c r="E827" t="str">
        <f>DATE(YEAR(D827),MONTH(D827),DAY(D827))</f>
      </c>
      <c r="F827" t="str">
        <f>CONCATENATE(C827,E827)</f>
      </c>
      <c r="G827" t="str">
        <f>TIMEVALUE(D827)</f>
      </c>
      <c r="H827" t="str">
        <f>COUNTIF(Szamlaszamok!A:A,A827)</f>
      </c>
      <c r="I827" t="str">
        <f>SUMIFS(Szamlaszamok!E:E,Szamlaszamok!A:A,Szamlaszamok_nonduplicate!A827)</f>
      </c>
    </row>
    <row r="828" spans="1:9">
      <c r="A828" t="s">
        <v>3118</v>
      </c>
      <c r="B828" t="str">
        <f>VLOOKUP($A828,Szamlaszamok!$A827:F2383,2,FALSE)</f>
      </c>
      <c r="C828" t="str">
        <f>VLOOKUP($A828,Szamlaszamok!$A827:F2383,3,FALSE)</f>
      </c>
      <c r="D828" t="str">
        <f>VLOOKUP($A828,Szamlaszamok!$A827:F2383,4,FALSE)</f>
      </c>
      <c r="E828" t="str">
        <f>DATE(YEAR(D828),MONTH(D828),DAY(D828))</f>
      </c>
      <c r="F828" t="str">
        <f>CONCATENATE(C828,E828)</f>
      </c>
      <c r="G828" t="str">
        <f>TIMEVALUE(D828)</f>
      </c>
      <c r="H828" t="str">
        <f>COUNTIF(Szamlaszamok!A:A,A828)</f>
      </c>
      <c r="I828" t="str">
        <f>SUMIFS(Szamlaszamok!E:E,Szamlaszamok!A:A,Szamlaszamok_nonduplicate!A828)</f>
      </c>
    </row>
    <row r="829" spans="1:9">
      <c r="A829" t="s">
        <v>3122</v>
      </c>
      <c r="B829" t="str">
        <f>VLOOKUP($A829,Szamlaszamok!$A828:F2384,2,FALSE)</f>
      </c>
      <c r="C829" t="str">
        <f>VLOOKUP($A829,Szamlaszamok!$A828:F2384,3,FALSE)</f>
      </c>
      <c r="D829" t="str">
        <f>VLOOKUP($A829,Szamlaszamok!$A828:F2384,4,FALSE)</f>
      </c>
      <c r="E829" t="str">
        <f>DATE(YEAR(D829),MONTH(D829),DAY(D829))</f>
      </c>
      <c r="F829" t="str">
        <f>CONCATENATE(C829,E829)</f>
      </c>
      <c r="G829" t="str">
        <f>TIMEVALUE(D829)</f>
      </c>
      <c r="H829" t="str">
        <f>COUNTIF(Szamlaszamok!A:A,A829)</f>
      </c>
      <c r="I829" t="str">
        <f>SUMIFS(Szamlaszamok!E:E,Szamlaszamok!A:A,Szamlaszamok_nonduplicate!A829)</f>
      </c>
    </row>
    <row r="830" spans="1:9">
      <c r="A830" t="s">
        <v>3125</v>
      </c>
      <c r="B830" t="str">
        <f>VLOOKUP($A830,Szamlaszamok!$A829:F2385,2,FALSE)</f>
      </c>
      <c r="C830" t="str">
        <f>VLOOKUP($A830,Szamlaszamok!$A829:F2385,3,FALSE)</f>
      </c>
      <c r="D830" t="str">
        <f>VLOOKUP($A830,Szamlaszamok!$A829:F2385,4,FALSE)</f>
      </c>
      <c r="E830" t="str">
        <f>DATE(YEAR(D830),MONTH(D830),DAY(D830))</f>
      </c>
      <c r="F830" t="str">
        <f>CONCATENATE(C830,E830)</f>
      </c>
      <c r="G830" t="str">
        <f>TIMEVALUE(D830)</f>
      </c>
      <c r="H830" t="str">
        <f>COUNTIF(Szamlaszamok!A:A,A830)</f>
      </c>
      <c r="I830" t="str">
        <f>SUMIFS(Szamlaszamok!E:E,Szamlaszamok!A:A,Szamlaszamok_nonduplicate!A830)</f>
      </c>
    </row>
    <row r="831" spans="1:9">
      <c r="A831" t="s">
        <v>3129</v>
      </c>
      <c r="B831" t="str">
        <f>VLOOKUP($A831,Szamlaszamok!$A830:F2386,2,FALSE)</f>
      </c>
      <c r="C831" t="str">
        <f>VLOOKUP($A831,Szamlaszamok!$A830:F2386,3,FALSE)</f>
      </c>
      <c r="D831" t="str">
        <f>VLOOKUP($A831,Szamlaszamok!$A830:F2386,4,FALSE)</f>
      </c>
      <c r="E831" t="str">
        <f>DATE(YEAR(D831),MONTH(D831),DAY(D831))</f>
      </c>
      <c r="F831" t="str">
        <f>CONCATENATE(C831,E831)</f>
      </c>
      <c r="G831" t="str">
        <f>TIMEVALUE(D831)</f>
      </c>
      <c r="H831" t="str">
        <f>COUNTIF(Szamlaszamok!A:A,A831)</f>
      </c>
      <c r="I831" t="str">
        <f>SUMIFS(Szamlaszamok!E:E,Szamlaszamok!A:A,Szamlaszamok_nonduplicate!A831)</f>
      </c>
    </row>
    <row r="832" spans="1:9">
      <c r="A832" t="s">
        <v>3133</v>
      </c>
      <c r="B832" t="str">
        <f>VLOOKUP($A832,Szamlaszamok!$A831:F2387,2,FALSE)</f>
      </c>
      <c r="C832" t="str">
        <f>VLOOKUP($A832,Szamlaszamok!$A831:F2387,3,FALSE)</f>
      </c>
      <c r="D832" t="str">
        <f>VLOOKUP($A832,Szamlaszamok!$A831:F2387,4,FALSE)</f>
      </c>
      <c r="E832" t="str">
        <f>DATE(YEAR(D832),MONTH(D832),DAY(D832))</f>
      </c>
      <c r="F832" t="str">
        <f>CONCATENATE(C832,E832)</f>
      </c>
      <c r="G832" t="str">
        <f>TIMEVALUE(D832)</f>
      </c>
      <c r="H832" t="str">
        <f>COUNTIF(Szamlaszamok!A:A,A832)</f>
      </c>
      <c r="I832" t="str">
        <f>SUMIFS(Szamlaszamok!E:E,Szamlaszamok!A:A,Szamlaszamok_nonduplicate!A832)</f>
      </c>
    </row>
    <row r="833" spans="1:9">
      <c r="A833" t="s">
        <v>3137</v>
      </c>
      <c r="B833" t="str">
        <f>VLOOKUP($A833,Szamlaszamok!$A832:F2388,2,FALSE)</f>
      </c>
      <c r="C833" t="str">
        <f>VLOOKUP($A833,Szamlaszamok!$A832:F2388,3,FALSE)</f>
      </c>
      <c r="D833" t="str">
        <f>VLOOKUP($A833,Szamlaszamok!$A832:F2388,4,FALSE)</f>
      </c>
      <c r="E833" t="str">
        <f>DATE(YEAR(D833),MONTH(D833),DAY(D833))</f>
      </c>
      <c r="F833" t="str">
        <f>CONCATENATE(C833,E833)</f>
      </c>
      <c r="G833" t="str">
        <f>TIMEVALUE(D833)</f>
      </c>
      <c r="H833" t="str">
        <f>COUNTIF(Szamlaszamok!A:A,A833)</f>
      </c>
      <c r="I833" t="str">
        <f>SUMIFS(Szamlaszamok!E:E,Szamlaszamok!A:A,Szamlaszamok_nonduplicate!A833)</f>
      </c>
    </row>
    <row r="834" spans="1:9">
      <c r="A834" t="s">
        <v>3140</v>
      </c>
      <c r="B834" t="str">
        <f>VLOOKUP($A834,Szamlaszamok!$A833:F2389,2,FALSE)</f>
      </c>
      <c r="C834" t="str">
        <f>VLOOKUP($A834,Szamlaszamok!$A833:F2389,3,FALSE)</f>
      </c>
      <c r="D834" t="str">
        <f>VLOOKUP($A834,Szamlaszamok!$A833:F2389,4,FALSE)</f>
      </c>
      <c r="E834" t="str">
        <f>DATE(YEAR(D834),MONTH(D834),DAY(D834))</f>
      </c>
      <c r="F834" t="str">
        <f>CONCATENATE(C834,E834)</f>
      </c>
      <c r="G834" t="str">
        <f>TIMEVALUE(D834)</f>
      </c>
      <c r="H834" t="str">
        <f>COUNTIF(Szamlaszamok!A:A,A834)</f>
      </c>
      <c r="I834" t="str">
        <f>SUMIFS(Szamlaszamok!E:E,Szamlaszamok!A:A,Szamlaszamok_nonduplicate!A834)</f>
      </c>
    </row>
    <row r="835" spans="1:9">
      <c r="A835" t="s">
        <v>3143</v>
      </c>
      <c r="B835" t="str">
        <f>VLOOKUP($A835,Szamlaszamok!$A834:F2390,2,FALSE)</f>
      </c>
      <c r="C835" t="str">
        <f>VLOOKUP($A835,Szamlaszamok!$A834:F2390,3,FALSE)</f>
      </c>
      <c r="D835" t="str">
        <f>VLOOKUP($A835,Szamlaszamok!$A834:F2390,4,FALSE)</f>
      </c>
      <c r="E835" t="str">
        <f>DATE(YEAR(D835),MONTH(D835),DAY(D835))</f>
      </c>
      <c r="F835" t="str">
        <f>CONCATENATE(C835,E835)</f>
      </c>
      <c r="G835" t="str">
        <f>TIMEVALUE(D835)</f>
      </c>
      <c r="H835" t="str">
        <f>COUNTIF(Szamlaszamok!A:A,A835)</f>
      </c>
      <c r="I835" t="str">
        <f>SUMIFS(Szamlaszamok!E:E,Szamlaszamok!A:A,Szamlaszamok_nonduplicate!A835)</f>
      </c>
    </row>
    <row r="836" spans="1:9">
      <c r="A836" t="s">
        <v>3146</v>
      </c>
      <c r="B836" t="str">
        <f>VLOOKUP($A836,Szamlaszamok!$A835:F2391,2,FALSE)</f>
      </c>
      <c r="C836" t="str">
        <f>VLOOKUP($A836,Szamlaszamok!$A835:F2391,3,FALSE)</f>
      </c>
      <c r="D836" t="str">
        <f>VLOOKUP($A836,Szamlaszamok!$A835:F2391,4,FALSE)</f>
      </c>
      <c r="E836" t="str">
        <f>DATE(YEAR(D836),MONTH(D836),DAY(D836))</f>
      </c>
      <c r="F836" t="str">
        <f>CONCATENATE(C836,E836)</f>
      </c>
      <c r="G836" t="str">
        <f>TIMEVALUE(D836)</f>
      </c>
      <c r="H836" t="str">
        <f>COUNTIF(Szamlaszamok!A:A,A836)</f>
      </c>
      <c r="I836" t="str">
        <f>SUMIFS(Szamlaszamok!E:E,Szamlaszamok!A:A,Szamlaszamok_nonduplicate!A836)</f>
      </c>
    </row>
    <row r="837" spans="1:9">
      <c r="A837" t="s">
        <v>3150</v>
      </c>
      <c r="B837" t="str">
        <f>VLOOKUP($A837,Szamlaszamok!$A836:F2392,2,FALSE)</f>
      </c>
      <c r="C837" t="str">
        <f>VLOOKUP($A837,Szamlaszamok!$A836:F2392,3,FALSE)</f>
      </c>
      <c r="D837" t="str">
        <f>VLOOKUP($A837,Szamlaszamok!$A836:F2392,4,FALSE)</f>
      </c>
      <c r="E837" t="str">
        <f>DATE(YEAR(D837),MONTH(D837),DAY(D837))</f>
      </c>
      <c r="F837" t="str">
        <f>CONCATENATE(C837,E837)</f>
      </c>
      <c r="G837" t="str">
        <f>TIMEVALUE(D837)</f>
      </c>
      <c r="H837" t="str">
        <f>COUNTIF(Szamlaszamok!A:A,A837)</f>
      </c>
      <c r="I837" t="str">
        <f>SUMIFS(Szamlaszamok!E:E,Szamlaszamok!A:A,Szamlaszamok_nonduplicate!A837)</f>
      </c>
    </row>
    <row r="838" spans="1:9">
      <c r="A838" t="s">
        <v>3154</v>
      </c>
      <c r="B838" t="str">
        <f>VLOOKUP($A838,Szamlaszamok!$A837:F2393,2,FALSE)</f>
      </c>
      <c r="C838" t="str">
        <f>VLOOKUP($A838,Szamlaszamok!$A837:F2393,3,FALSE)</f>
      </c>
      <c r="D838" t="str">
        <f>VLOOKUP($A838,Szamlaszamok!$A837:F2393,4,FALSE)</f>
      </c>
      <c r="E838" t="str">
        <f>DATE(YEAR(D838),MONTH(D838),DAY(D838))</f>
      </c>
      <c r="F838" t="str">
        <f>CONCATENATE(C838,E838)</f>
      </c>
      <c r="G838" t="str">
        <f>TIMEVALUE(D838)</f>
      </c>
      <c r="H838" t="str">
        <f>COUNTIF(Szamlaszamok!A:A,A838)</f>
      </c>
      <c r="I838" t="str">
        <f>SUMIFS(Szamlaszamok!E:E,Szamlaszamok!A:A,Szamlaszamok_nonduplicate!A838)</f>
      </c>
    </row>
    <row r="839" spans="1:9">
      <c r="A839" t="s">
        <v>3157</v>
      </c>
      <c r="B839" t="str">
        <f>VLOOKUP($A839,Szamlaszamok!$A838:F2394,2,FALSE)</f>
      </c>
      <c r="C839" t="str">
        <f>VLOOKUP($A839,Szamlaszamok!$A838:F2394,3,FALSE)</f>
      </c>
      <c r="D839" t="str">
        <f>VLOOKUP($A839,Szamlaszamok!$A838:F2394,4,FALSE)</f>
      </c>
      <c r="E839" t="str">
        <f>DATE(YEAR(D839),MONTH(D839),DAY(D839))</f>
      </c>
      <c r="F839" t="str">
        <f>CONCATENATE(C839,E839)</f>
      </c>
      <c r="G839" t="str">
        <f>TIMEVALUE(D839)</f>
      </c>
      <c r="H839" t="str">
        <f>COUNTIF(Szamlaszamok!A:A,A839)</f>
      </c>
      <c r="I839" t="str">
        <f>SUMIFS(Szamlaszamok!E:E,Szamlaszamok!A:A,Szamlaszamok_nonduplicate!A839)</f>
      </c>
    </row>
    <row r="840" spans="1:9">
      <c r="A840" t="s">
        <v>3161</v>
      </c>
      <c r="B840" t="str">
        <f>VLOOKUP($A840,Szamlaszamok!$A839:F2395,2,FALSE)</f>
      </c>
      <c r="C840" t="str">
        <f>VLOOKUP($A840,Szamlaszamok!$A839:F2395,3,FALSE)</f>
      </c>
      <c r="D840" t="str">
        <f>VLOOKUP($A840,Szamlaszamok!$A839:F2395,4,FALSE)</f>
      </c>
      <c r="E840" t="str">
        <f>DATE(YEAR(D840),MONTH(D840),DAY(D840))</f>
      </c>
      <c r="F840" t="str">
        <f>CONCATENATE(C840,E840)</f>
      </c>
      <c r="G840" t="str">
        <f>TIMEVALUE(D840)</f>
      </c>
      <c r="H840" t="str">
        <f>COUNTIF(Szamlaszamok!A:A,A840)</f>
      </c>
      <c r="I840" t="str">
        <f>SUMIFS(Szamlaszamok!E:E,Szamlaszamok!A:A,Szamlaszamok_nonduplicate!A840)</f>
      </c>
    </row>
    <row r="841" spans="1:9">
      <c r="A841" t="s">
        <v>3165</v>
      </c>
      <c r="B841" t="str">
        <f>VLOOKUP($A841,Szamlaszamok!$A840:F2396,2,FALSE)</f>
      </c>
      <c r="C841" t="str">
        <f>VLOOKUP($A841,Szamlaszamok!$A840:F2396,3,FALSE)</f>
      </c>
      <c r="D841" t="str">
        <f>VLOOKUP($A841,Szamlaszamok!$A840:F2396,4,FALSE)</f>
      </c>
      <c r="E841" t="str">
        <f>DATE(YEAR(D841),MONTH(D841),DAY(D841))</f>
      </c>
      <c r="F841" t="str">
        <f>CONCATENATE(C841,E841)</f>
      </c>
      <c r="G841" t="str">
        <f>TIMEVALUE(D841)</f>
      </c>
      <c r="H841" t="str">
        <f>COUNTIF(Szamlaszamok!A:A,A841)</f>
      </c>
      <c r="I841" t="str">
        <f>SUMIFS(Szamlaszamok!E:E,Szamlaszamok!A:A,Szamlaszamok_nonduplicate!A841)</f>
      </c>
    </row>
    <row r="842" spans="1:9">
      <c r="A842" t="s">
        <v>3169</v>
      </c>
      <c r="B842" t="str">
        <f>VLOOKUP($A842,Szamlaszamok!$A841:F2397,2,FALSE)</f>
      </c>
      <c r="C842" t="str">
        <f>VLOOKUP($A842,Szamlaszamok!$A841:F2397,3,FALSE)</f>
      </c>
      <c r="D842" t="str">
        <f>VLOOKUP($A842,Szamlaszamok!$A841:F2397,4,FALSE)</f>
      </c>
      <c r="E842" t="str">
        <f>DATE(YEAR(D842),MONTH(D842),DAY(D842))</f>
      </c>
      <c r="F842" t="str">
        <f>CONCATENATE(C842,E842)</f>
      </c>
      <c r="G842" t="str">
        <f>TIMEVALUE(D842)</f>
      </c>
      <c r="H842" t="str">
        <f>COUNTIF(Szamlaszamok!A:A,A842)</f>
      </c>
      <c r="I842" t="str">
        <f>SUMIFS(Szamlaszamok!E:E,Szamlaszamok!A:A,Szamlaszamok_nonduplicate!A842)</f>
      </c>
    </row>
    <row r="843" spans="1:9">
      <c r="A843" t="s">
        <v>3173</v>
      </c>
      <c r="B843" t="str">
        <f>VLOOKUP($A843,Szamlaszamok!$A842:F2398,2,FALSE)</f>
      </c>
      <c r="C843" t="str">
        <f>VLOOKUP($A843,Szamlaszamok!$A842:F2398,3,FALSE)</f>
      </c>
      <c r="D843" t="str">
        <f>VLOOKUP($A843,Szamlaszamok!$A842:F2398,4,FALSE)</f>
      </c>
      <c r="E843" t="str">
        <f>DATE(YEAR(D843),MONTH(D843),DAY(D843))</f>
      </c>
      <c r="F843" t="str">
        <f>CONCATENATE(C843,E843)</f>
      </c>
      <c r="G843" t="str">
        <f>TIMEVALUE(D843)</f>
      </c>
      <c r="H843" t="str">
        <f>COUNTIF(Szamlaszamok!A:A,A843)</f>
      </c>
      <c r="I843" t="str">
        <f>SUMIFS(Szamlaszamok!E:E,Szamlaszamok!A:A,Szamlaszamok_nonduplicate!A843)</f>
      </c>
    </row>
    <row r="844" spans="1:9">
      <c r="A844" t="s">
        <v>3177</v>
      </c>
      <c r="B844" t="str">
        <f>VLOOKUP($A844,Szamlaszamok!$A843:F2399,2,FALSE)</f>
      </c>
      <c r="C844" t="str">
        <f>VLOOKUP($A844,Szamlaszamok!$A843:F2399,3,FALSE)</f>
      </c>
      <c r="D844" t="str">
        <f>VLOOKUP($A844,Szamlaszamok!$A843:F2399,4,FALSE)</f>
      </c>
      <c r="E844" t="str">
        <f>DATE(YEAR(D844),MONTH(D844),DAY(D844))</f>
      </c>
      <c r="F844" t="str">
        <f>CONCATENATE(C844,E844)</f>
      </c>
      <c r="G844" t="str">
        <f>TIMEVALUE(D844)</f>
      </c>
      <c r="H844" t="str">
        <f>COUNTIF(Szamlaszamok!A:A,A844)</f>
      </c>
      <c r="I844" t="str">
        <f>SUMIFS(Szamlaszamok!E:E,Szamlaszamok!A:A,Szamlaszamok_nonduplicate!A844)</f>
      </c>
    </row>
    <row r="845" spans="1:9">
      <c r="A845" t="s">
        <v>3181</v>
      </c>
      <c r="B845" t="str">
        <f>VLOOKUP($A845,Szamlaszamok!$A844:F2400,2,FALSE)</f>
      </c>
      <c r="C845" t="str">
        <f>VLOOKUP($A845,Szamlaszamok!$A844:F2400,3,FALSE)</f>
      </c>
      <c r="D845" t="str">
        <f>VLOOKUP($A845,Szamlaszamok!$A844:F2400,4,FALSE)</f>
      </c>
      <c r="E845" t="str">
        <f>DATE(YEAR(D845),MONTH(D845),DAY(D845))</f>
      </c>
      <c r="F845" t="str">
        <f>CONCATENATE(C845,E845)</f>
      </c>
      <c r="G845" t="str">
        <f>TIMEVALUE(D845)</f>
      </c>
      <c r="H845" t="str">
        <f>COUNTIF(Szamlaszamok!A:A,A845)</f>
      </c>
      <c r="I845" t="str">
        <f>SUMIFS(Szamlaszamok!E:E,Szamlaszamok!A:A,Szamlaszamok_nonduplicate!A845)</f>
      </c>
    </row>
    <row r="846" spans="1:9">
      <c r="A846" t="s">
        <v>3185</v>
      </c>
      <c r="B846" t="str">
        <f>VLOOKUP($A846,Szamlaszamok!$A845:F2401,2,FALSE)</f>
      </c>
      <c r="C846" t="str">
        <f>VLOOKUP($A846,Szamlaszamok!$A845:F2401,3,FALSE)</f>
      </c>
      <c r="D846" t="str">
        <f>VLOOKUP($A846,Szamlaszamok!$A845:F2401,4,FALSE)</f>
      </c>
      <c r="E846" t="str">
        <f>DATE(YEAR(D846),MONTH(D846),DAY(D846))</f>
      </c>
      <c r="F846" t="str">
        <f>CONCATENATE(C846,E846)</f>
      </c>
      <c r="G846" t="str">
        <f>TIMEVALUE(D846)</f>
      </c>
      <c r="H846" t="str">
        <f>COUNTIF(Szamlaszamok!A:A,A846)</f>
      </c>
      <c r="I846" t="str">
        <f>SUMIFS(Szamlaszamok!E:E,Szamlaszamok!A:A,Szamlaszamok_nonduplicate!A846)</f>
      </c>
    </row>
    <row r="847" spans="1:9">
      <c r="A847" t="s">
        <v>3189</v>
      </c>
      <c r="B847" t="str">
        <f>VLOOKUP($A847,Szamlaszamok!$A846:F2402,2,FALSE)</f>
      </c>
      <c r="C847" t="str">
        <f>VLOOKUP($A847,Szamlaszamok!$A846:F2402,3,FALSE)</f>
      </c>
      <c r="D847" t="str">
        <f>VLOOKUP($A847,Szamlaszamok!$A846:F2402,4,FALSE)</f>
      </c>
      <c r="E847" t="str">
        <f>DATE(YEAR(D847),MONTH(D847),DAY(D847))</f>
      </c>
      <c r="F847" t="str">
        <f>CONCATENATE(C847,E847)</f>
      </c>
      <c r="G847" t="str">
        <f>TIMEVALUE(D847)</f>
      </c>
      <c r="H847" t="str">
        <f>COUNTIF(Szamlaszamok!A:A,A847)</f>
      </c>
      <c r="I847" t="str">
        <f>SUMIFS(Szamlaszamok!E:E,Szamlaszamok!A:A,Szamlaszamok_nonduplicate!A847)</f>
      </c>
    </row>
    <row r="848" spans="1:9">
      <c r="A848" t="s">
        <v>3191</v>
      </c>
      <c r="B848" t="str">
        <f>VLOOKUP($A848,Szamlaszamok!$A847:F2403,2,FALSE)</f>
      </c>
      <c r="C848" t="str">
        <f>VLOOKUP($A848,Szamlaszamok!$A847:F2403,3,FALSE)</f>
      </c>
      <c r="D848" t="str">
        <f>VLOOKUP($A848,Szamlaszamok!$A847:F2403,4,FALSE)</f>
      </c>
      <c r="E848" t="str">
        <f>DATE(YEAR(D848),MONTH(D848),DAY(D848))</f>
      </c>
      <c r="F848" t="str">
        <f>CONCATENATE(C848,E848)</f>
      </c>
      <c r="G848" t="str">
        <f>TIMEVALUE(D848)</f>
      </c>
      <c r="H848" t="str">
        <f>COUNTIF(Szamlaszamok!A:A,A848)</f>
      </c>
      <c r="I848" t="str">
        <f>SUMIFS(Szamlaszamok!E:E,Szamlaszamok!A:A,Szamlaszamok_nonduplicate!A848)</f>
      </c>
    </row>
    <row r="849" spans="1:9">
      <c r="A849" t="s">
        <v>3193</v>
      </c>
      <c r="B849" t="str">
        <f>VLOOKUP($A849,Szamlaszamok!$A848:F2404,2,FALSE)</f>
      </c>
      <c r="C849" t="str">
        <f>VLOOKUP($A849,Szamlaszamok!$A848:F2404,3,FALSE)</f>
      </c>
      <c r="D849" t="str">
        <f>VLOOKUP($A849,Szamlaszamok!$A848:F2404,4,FALSE)</f>
      </c>
      <c r="E849" t="str">
        <f>DATE(YEAR(D849),MONTH(D849),DAY(D849))</f>
      </c>
      <c r="F849" t="str">
        <f>CONCATENATE(C849,E849)</f>
      </c>
      <c r="G849" t="str">
        <f>TIMEVALUE(D849)</f>
      </c>
      <c r="H849" t="str">
        <f>COUNTIF(Szamlaszamok!A:A,A849)</f>
      </c>
      <c r="I849" t="str">
        <f>SUMIFS(Szamlaszamok!E:E,Szamlaszamok!A:A,Szamlaszamok_nonduplicate!A849)</f>
      </c>
    </row>
    <row r="850" spans="1:9">
      <c r="A850" t="s">
        <v>3197</v>
      </c>
      <c r="B850" t="str">
        <f>VLOOKUP($A850,Szamlaszamok!$A849:F2405,2,FALSE)</f>
      </c>
      <c r="C850" t="str">
        <f>VLOOKUP($A850,Szamlaszamok!$A849:F2405,3,FALSE)</f>
      </c>
      <c r="D850" t="str">
        <f>VLOOKUP($A850,Szamlaszamok!$A849:F2405,4,FALSE)</f>
      </c>
      <c r="E850" t="str">
        <f>DATE(YEAR(D850),MONTH(D850),DAY(D850))</f>
      </c>
      <c r="F850" t="str">
        <f>CONCATENATE(C850,E850)</f>
      </c>
      <c r="G850" t="str">
        <f>TIMEVALUE(D850)</f>
      </c>
      <c r="H850" t="str">
        <f>COUNTIF(Szamlaszamok!A:A,A850)</f>
      </c>
      <c r="I850" t="str">
        <f>SUMIFS(Szamlaszamok!E:E,Szamlaszamok!A:A,Szamlaszamok_nonduplicate!A850)</f>
      </c>
    </row>
    <row r="851" spans="1:9">
      <c r="A851" t="s">
        <v>3201</v>
      </c>
      <c r="B851" t="str">
        <f>VLOOKUP($A851,Szamlaszamok!$A850:F2406,2,FALSE)</f>
      </c>
      <c r="C851" t="str">
        <f>VLOOKUP($A851,Szamlaszamok!$A850:F2406,3,FALSE)</f>
      </c>
      <c r="D851" t="str">
        <f>VLOOKUP($A851,Szamlaszamok!$A850:F2406,4,FALSE)</f>
      </c>
      <c r="E851" t="str">
        <f>DATE(YEAR(D851),MONTH(D851),DAY(D851))</f>
      </c>
      <c r="F851" t="str">
        <f>CONCATENATE(C851,E851)</f>
      </c>
      <c r="G851" t="str">
        <f>TIMEVALUE(D851)</f>
      </c>
      <c r="H851" t="str">
        <f>COUNTIF(Szamlaszamok!A:A,A851)</f>
      </c>
      <c r="I851" t="str">
        <f>SUMIFS(Szamlaszamok!E:E,Szamlaszamok!A:A,Szamlaszamok_nonduplicate!A851)</f>
      </c>
    </row>
    <row r="852" spans="1:9">
      <c r="A852" t="s">
        <v>3205</v>
      </c>
      <c r="B852" t="str">
        <f>VLOOKUP($A852,Szamlaszamok!$A851:F2407,2,FALSE)</f>
      </c>
      <c r="C852" t="str">
        <f>VLOOKUP($A852,Szamlaszamok!$A851:F2407,3,FALSE)</f>
      </c>
      <c r="D852" t="str">
        <f>VLOOKUP($A852,Szamlaszamok!$A851:F2407,4,FALSE)</f>
      </c>
      <c r="E852" t="str">
        <f>DATE(YEAR(D852),MONTH(D852),DAY(D852))</f>
      </c>
      <c r="F852" t="str">
        <f>CONCATENATE(C852,E852)</f>
      </c>
      <c r="G852" t="str">
        <f>TIMEVALUE(D852)</f>
      </c>
      <c r="H852" t="str">
        <f>COUNTIF(Szamlaszamok!A:A,A852)</f>
      </c>
      <c r="I852" t="str">
        <f>SUMIFS(Szamlaszamok!E:E,Szamlaszamok!A:A,Szamlaszamok_nonduplicate!A852)</f>
      </c>
    </row>
    <row r="853" spans="1:9">
      <c r="A853" t="s">
        <v>3209</v>
      </c>
      <c r="B853" t="str">
        <f>VLOOKUP($A853,Szamlaszamok!$A852:F2408,2,FALSE)</f>
      </c>
      <c r="C853" t="str">
        <f>VLOOKUP($A853,Szamlaszamok!$A852:F2408,3,FALSE)</f>
      </c>
      <c r="D853" t="str">
        <f>VLOOKUP($A853,Szamlaszamok!$A852:F2408,4,FALSE)</f>
      </c>
      <c r="E853" t="str">
        <f>DATE(YEAR(D853),MONTH(D853),DAY(D853))</f>
      </c>
      <c r="F853" t="str">
        <f>CONCATENATE(C853,E853)</f>
      </c>
      <c r="G853" t="str">
        <f>TIMEVALUE(D853)</f>
      </c>
      <c r="H853" t="str">
        <f>COUNTIF(Szamlaszamok!A:A,A853)</f>
      </c>
      <c r="I853" t="str">
        <f>SUMIFS(Szamlaszamok!E:E,Szamlaszamok!A:A,Szamlaszamok_nonduplicate!A853)</f>
      </c>
    </row>
    <row r="854" spans="1:9">
      <c r="A854" t="s">
        <v>3212</v>
      </c>
      <c r="B854" t="str">
        <f>VLOOKUP($A854,Szamlaszamok!$A853:F2409,2,FALSE)</f>
      </c>
      <c r="C854" t="str">
        <f>VLOOKUP($A854,Szamlaszamok!$A853:F2409,3,FALSE)</f>
      </c>
      <c r="D854" t="str">
        <f>VLOOKUP($A854,Szamlaszamok!$A853:F2409,4,FALSE)</f>
      </c>
      <c r="E854" t="str">
        <f>DATE(YEAR(D854),MONTH(D854),DAY(D854))</f>
      </c>
      <c r="F854" t="str">
        <f>CONCATENATE(C854,E854)</f>
      </c>
      <c r="G854" t="str">
        <f>TIMEVALUE(D854)</f>
      </c>
      <c r="H854" t="str">
        <f>COUNTIF(Szamlaszamok!A:A,A854)</f>
      </c>
      <c r="I854" t="str">
        <f>SUMIFS(Szamlaszamok!E:E,Szamlaszamok!A:A,Szamlaszamok_nonduplicate!A854)</f>
      </c>
    </row>
    <row r="855" spans="1:9">
      <c r="A855" t="s">
        <v>3216</v>
      </c>
      <c r="B855" t="str">
        <f>VLOOKUP($A855,Szamlaszamok!$A854:F2410,2,FALSE)</f>
      </c>
      <c r="C855" t="str">
        <f>VLOOKUP($A855,Szamlaszamok!$A854:F2410,3,FALSE)</f>
      </c>
      <c r="D855" t="str">
        <f>VLOOKUP($A855,Szamlaszamok!$A854:F2410,4,FALSE)</f>
      </c>
      <c r="E855" t="str">
        <f>DATE(YEAR(D855),MONTH(D855),DAY(D855))</f>
      </c>
      <c r="F855" t="str">
        <f>CONCATENATE(C855,E855)</f>
      </c>
      <c r="G855" t="str">
        <f>TIMEVALUE(D855)</f>
      </c>
      <c r="H855" t="str">
        <f>COUNTIF(Szamlaszamok!A:A,A855)</f>
      </c>
      <c r="I855" t="str">
        <f>SUMIFS(Szamlaszamok!E:E,Szamlaszamok!A:A,Szamlaszamok_nonduplicate!A855)</f>
      </c>
    </row>
    <row r="856" spans="1:9">
      <c r="A856" t="s">
        <v>3220</v>
      </c>
      <c r="B856" t="str">
        <f>VLOOKUP($A856,Szamlaszamok!$A855:F2411,2,FALSE)</f>
      </c>
      <c r="C856" t="str">
        <f>VLOOKUP($A856,Szamlaszamok!$A855:F2411,3,FALSE)</f>
      </c>
      <c r="D856" t="str">
        <f>VLOOKUP($A856,Szamlaszamok!$A855:F2411,4,FALSE)</f>
      </c>
      <c r="E856" t="str">
        <f>DATE(YEAR(D856),MONTH(D856),DAY(D856))</f>
      </c>
      <c r="F856" t="str">
        <f>CONCATENATE(C856,E856)</f>
      </c>
      <c r="G856" t="str">
        <f>TIMEVALUE(D856)</f>
      </c>
      <c r="H856" t="str">
        <f>COUNTIF(Szamlaszamok!A:A,A856)</f>
      </c>
      <c r="I856" t="str">
        <f>SUMIFS(Szamlaszamok!E:E,Szamlaszamok!A:A,Szamlaszamok_nonduplicate!A856)</f>
      </c>
    </row>
    <row r="857" spans="1:9">
      <c r="A857" t="s">
        <v>3224</v>
      </c>
      <c r="B857" t="str">
        <f>VLOOKUP($A857,Szamlaszamok!$A856:F2412,2,FALSE)</f>
      </c>
      <c r="C857" t="str">
        <f>VLOOKUP($A857,Szamlaszamok!$A856:F2412,3,FALSE)</f>
      </c>
      <c r="D857" t="str">
        <f>VLOOKUP($A857,Szamlaszamok!$A856:F2412,4,FALSE)</f>
      </c>
      <c r="E857" t="str">
        <f>DATE(YEAR(D857),MONTH(D857),DAY(D857))</f>
      </c>
      <c r="F857" t="str">
        <f>CONCATENATE(C857,E857)</f>
      </c>
      <c r="G857" t="str">
        <f>TIMEVALUE(D857)</f>
      </c>
      <c r="H857" t="str">
        <f>COUNTIF(Szamlaszamok!A:A,A857)</f>
      </c>
      <c r="I857" t="str">
        <f>SUMIFS(Szamlaszamok!E:E,Szamlaszamok!A:A,Szamlaszamok_nonduplicate!A857)</f>
      </c>
    </row>
    <row r="858" spans="1:9">
      <c r="A858" t="s">
        <v>3228</v>
      </c>
      <c r="B858" t="str">
        <f>VLOOKUP($A858,Szamlaszamok!$A857:F2413,2,FALSE)</f>
      </c>
      <c r="C858" t="str">
        <f>VLOOKUP($A858,Szamlaszamok!$A857:F2413,3,FALSE)</f>
      </c>
      <c r="D858" t="str">
        <f>VLOOKUP($A858,Szamlaszamok!$A857:F2413,4,FALSE)</f>
      </c>
      <c r="E858" t="str">
        <f>DATE(YEAR(D858),MONTH(D858),DAY(D858))</f>
      </c>
      <c r="F858" t="str">
        <f>CONCATENATE(C858,E858)</f>
      </c>
      <c r="G858" t="str">
        <f>TIMEVALUE(D858)</f>
      </c>
      <c r="H858" t="str">
        <f>COUNTIF(Szamlaszamok!A:A,A858)</f>
      </c>
      <c r="I858" t="str">
        <f>SUMIFS(Szamlaszamok!E:E,Szamlaszamok!A:A,Szamlaszamok_nonduplicate!A858)</f>
      </c>
    </row>
    <row r="859" spans="1:9">
      <c r="A859" t="s">
        <v>3232</v>
      </c>
      <c r="B859" t="str">
        <f>VLOOKUP($A859,Szamlaszamok!$A858:F2414,2,FALSE)</f>
      </c>
      <c r="C859" t="str">
        <f>VLOOKUP($A859,Szamlaszamok!$A858:F2414,3,FALSE)</f>
      </c>
      <c r="D859" t="str">
        <f>VLOOKUP($A859,Szamlaszamok!$A858:F2414,4,FALSE)</f>
      </c>
      <c r="E859" t="str">
        <f>DATE(YEAR(D859),MONTH(D859),DAY(D859))</f>
      </c>
      <c r="F859" t="str">
        <f>CONCATENATE(C859,E859)</f>
      </c>
      <c r="G859" t="str">
        <f>TIMEVALUE(D859)</f>
      </c>
      <c r="H859" t="str">
        <f>COUNTIF(Szamlaszamok!A:A,A859)</f>
      </c>
      <c r="I859" t="str">
        <f>SUMIFS(Szamlaszamok!E:E,Szamlaszamok!A:A,Szamlaszamok_nonduplicate!A859)</f>
      </c>
    </row>
    <row r="860" spans="1:9">
      <c r="A860" t="s">
        <v>3236</v>
      </c>
      <c r="B860" t="str">
        <f>VLOOKUP($A860,Szamlaszamok!$A859:F2415,2,FALSE)</f>
      </c>
      <c r="C860" t="str">
        <f>VLOOKUP($A860,Szamlaszamok!$A859:F2415,3,FALSE)</f>
      </c>
      <c r="D860" t="str">
        <f>VLOOKUP($A860,Szamlaszamok!$A859:F2415,4,FALSE)</f>
      </c>
      <c r="E860" t="str">
        <f>DATE(YEAR(D860),MONTH(D860),DAY(D860))</f>
      </c>
      <c r="F860" t="str">
        <f>CONCATENATE(C860,E860)</f>
      </c>
      <c r="G860" t="str">
        <f>TIMEVALUE(D860)</f>
      </c>
      <c r="H860" t="str">
        <f>COUNTIF(Szamlaszamok!A:A,A860)</f>
      </c>
      <c r="I860" t="str">
        <f>SUMIFS(Szamlaszamok!E:E,Szamlaszamok!A:A,Szamlaszamok_nonduplicate!A860)</f>
      </c>
    </row>
    <row r="861" spans="1:9">
      <c r="A861" t="s">
        <v>3240</v>
      </c>
      <c r="B861" t="str">
        <f>VLOOKUP($A861,Szamlaszamok!$A860:F2416,2,FALSE)</f>
      </c>
      <c r="C861" t="str">
        <f>VLOOKUP($A861,Szamlaszamok!$A860:F2416,3,FALSE)</f>
      </c>
      <c r="D861" t="str">
        <f>VLOOKUP($A861,Szamlaszamok!$A860:F2416,4,FALSE)</f>
      </c>
      <c r="E861" t="str">
        <f>DATE(YEAR(D861),MONTH(D861),DAY(D861))</f>
      </c>
      <c r="F861" t="str">
        <f>CONCATENATE(C861,E861)</f>
      </c>
      <c r="G861" t="str">
        <f>TIMEVALUE(D861)</f>
      </c>
      <c r="H861" t="str">
        <f>COUNTIF(Szamlaszamok!A:A,A861)</f>
      </c>
      <c r="I861" t="str">
        <f>SUMIFS(Szamlaszamok!E:E,Szamlaszamok!A:A,Szamlaszamok_nonduplicate!A861)</f>
      </c>
    </row>
    <row r="862" spans="1:9">
      <c r="A862" t="s">
        <v>3242</v>
      </c>
      <c r="B862" t="str">
        <f>VLOOKUP($A862,Szamlaszamok!$A861:F2417,2,FALSE)</f>
      </c>
      <c r="C862" t="str">
        <f>VLOOKUP($A862,Szamlaszamok!$A861:F2417,3,FALSE)</f>
      </c>
      <c r="D862" t="str">
        <f>VLOOKUP($A862,Szamlaszamok!$A861:F2417,4,FALSE)</f>
      </c>
      <c r="E862" t="str">
        <f>DATE(YEAR(D862),MONTH(D862),DAY(D862))</f>
      </c>
      <c r="F862" t="str">
        <f>CONCATENATE(C862,E862)</f>
      </c>
      <c r="G862" t="str">
        <f>TIMEVALUE(D862)</f>
      </c>
      <c r="H862" t="str">
        <f>COUNTIF(Szamlaszamok!A:A,A862)</f>
      </c>
      <c r="I862" t="str">
        <f>SUMIFS(Szamlaszamok!E:E,Szamlaszamok!A:A,Szamlaszamok_nonduplicate!A862)</f>
      </c>
    </row>
    <row r="863" spans="1:9">
      <c r="A863" t="s">
        <v>3246</v>
      </c>
      <c r="B863" t="str">
        <f>VLOOKUP($A863,Szamlaszamok!$A862:F2418,2,FALSE)</f>
      </c>
      <c r="C863" t="str">
        <f>VLOOKUP($A863,Szamlaszamok!$A862:F2418,3,FALSE)</f>
      </c>
      <c r="D863" t="str">
        <f>VLOOKUP($A863,Szamlaszamok!$A862:F2418,4,FALSE)</f>
      </c>
      <c r="E863" t="str">
        <f>DATE(YEAR(D863),MONTH(D863),DAY(D863))</f>
      </c>
      <c r="F863" t="str">
        <f>CONCATENATE(C863,E863)</f>
      </c>
      <c r="G863" t="str">
        <f>TIMEVALUE(D863)</f>
      </c>
      <c r="H863" t="str">
        <f>COUNTIF(Szamlaszamok!A:A,A863)</f>
      </c>
      <c r="I863" t="str">
        <f>SUMIFS(Szamlaszamok!E:E,Szamlaszamok!A:A,Szamlaszamok_nonduplicate!A863)</f>
      </c>
    </row>
    <row r="864" spans="1:9">
      <c r="A864" t="s">
        <v>3250</v>
      </c>
      <c r="B864" t="str">
        <f>VLOOKUP($A864,Szamlaszamok!$A863:F2419,2,FALSE)</f>
      </c>
      <c r="C864" t="str">
        <f>VLOOKUP($A864,Szamlaszamok!$A863:F2419,3,FALSE)</f>
      </c>
      <c r="D864" t="str">
        <f>VLOOKUP($A864,Szamlaszamok!$A863:F2419,4,FALSE)</f>
      </c>
      <c r="E864" t="str">
        <f>DATE(YEAR(D864),MONTH(D864),DAY(D864))</f>
      </c>
      <c r="F864" t="str">
        <f>CONCATENATE(C864,E864)</f>
      </c>
      <c r="G864" t="str">
        <f>TIMEVALUE(D864)</f>
      </c>
      <c r="H864" t="str">
        <f>COUNTIF(Szamlaszamok!A:A,A864)</f>
      </c>
      <c r="I864" t="str">
        <f>SUMIFS(Szamlaszamok!E:E,Szamlaszamok!A:A,Szamlaszamok_nonduplicate!A864)</f>
      </c>
    </row>
    <row r="865" spans="1:9">
      <c r="A865" t="s">
        <v>3254</v>
      </c>
      <c r="B865" t="str">
        <f>VLOOKUP($A865,Szamlaszamok!$A864:F2420,2,FALSE)</f>
      </c>
      <c r="C865" t="str">
        <f>VLOOKUP($A865,Szamlaszamok!$A864:F2420,3,FALSE)</f>
      </c>
      <c r="D865" t="str">
        <f>VLOOKUP($A865,Szamlaszamok!$A864:F2420,4,FALSE)</f>
      </c>
      <c r="E865" t="str">
        <f>DATE(YEAR(D865),MONTH(D865),DAY(D865))</f>
      </c>
      <c r="F865" t="str">
        <f>CONCATENATE(C865,E865)</f>
      </c>
      <c r="G865" t="str">
        <f>TIMEVALUE(D865)</f>
      </c>
      <c r="H865" t="str">
        <f>COUNTIF(Szamlaszamok!A:A,A865)</f>
      </c>
      <c r="I865" t="str">
        <f>SUMIFS(Szamlaszamok!E:E,Szamlaszamok!A:A,Szamlaszamok_nonduplicate!A865)</f>
      </c>
    </row>
    <row r="866" spans="1:9">
      <c r="A866" t="s">
        <v>3258</v>
      </c>
      <c r="B866" t="str">
        <f>VLOOKUP($A866,Szamlaszamok!$A865:F2421,2,FALSE)</f>
      </c>
      <c r="C866" t="str">
        <f>VLOOKUP($A866,Szamlaszamok!$A865:F2421,3,FALSE)</f>
      </c>
      <c r="D866" t="str">
        <f>VLOOKUP($A866,Szamlaszamok!$A865:F2421,4,FALSE)</f>
      </c>
      <c r="E866" t="str">
        <f>DATE(YEAR(D866),MONTH(D866),DAY(D866))</f>
      </c>
      <c r="F866" t="str">
        <f>CONCATENATE(C866,E866)</f>
      </c>
      <c r="G866" t="str">
        <f>TIMEVALUE(D866)</f>
      </c>
      <c r="H866" t="str">
        <f>COUNTIF(Szamlaszamok!A:A,A866)</f>
      </c>
      <c r="I866" t="str">
        <f>SUMIFS(Szamlaszamok!E:E,Szamlaszamok!A:A,Szamlaszamok_nonduplicate!A866)</f>
      </c>
    </row>
    <row r="867" spans="1:9">
      <c r="A867" t="s">
        <v>3260</v>
      </c>
      <c r="B867" t="str">
        <f>VLOOKUP($A867,Szamlaszamok!$A866:F2422,2,FALSE)</f>
      </c>
      <c r="C867" t="str">
        <f>VLOOKUP($A867,Szamlaszamok!$A866:F2422,3,FALSE)</f>
      </c>
      <c r="D867" t="str">
        <f>VLOOKUP($A867,Szamlaszamok!$A866:F2422,4,FALSE)</f>
      </c>
      <c r="E867" t="str">
        <f>DATE(YEAR(D867),MONTH(D867),DAY(D867))</f>
      </c>
      <c r="F867" t="str">
        <f>CONCATENATE(C867,E867)</f>
      </c>
      <c r="G867" t="str">
        <f>TIMEVALUE(D867)</f>
      </c>
      <c r="H867" t="str">
        <f>COUNTIF(Szamlaszamok!A:A,A867)</f>
      </c>
      <c r="I867" t="str">
        <f>SUMIFS(Szamlaszamok!E:E,Szamlaszamok!A:A,Szamlaszamok_nonduplicate!A867)</f>
      </c>
    </row>
    <row r="868" spans="1:9">
      <c r="A868" t="s">
        <v>3264</v>
      </c>
      <c r="B868" t="str">
        <f>VLOOKUP($A868,Szamlaszamok!$A867:F2423,2,FALSE)</f>
      </c>
      <c r="C868" t="str">
        <f>VLOOKUP($A868,Szamlaszamok!$A867:F2423,3,FALSE)</f>
      </c>
      <c r="D868" t="str">
        <f>VLOOKUP($A868,Szamlaszamok!$A867:F2423,4,FALSE)</f>
      </c>
      <c r="E868" t="str">
        <f>DATE(YEAR(D868),MONTH(D868),DAY(D868))</f>
      </c>
      <c r="F868" t="str">
        <f>CONCATENATE(C868,E868)</f>
      </c>
      <c r="G868" t="str">
        <f>TIMEVALUE(D868)</f>
      </c>
      <c r="H868" t="str">
        <f>COUNTIF(Szamlaszamok!A:A,A868)</f>
      </c>
      <c r="I868" t="str">
        <f>SUMIFS(Szamlaszamok!E:E,Szamlaszamok!A:A,Szamlaszamok_nonduplicate!A868)</f>
      </c>
    </row>
    <row r="869" spans="1:9">
      <c r="A869" t="s">
        <v>3268</v>
      </c>
      <c r="B869" t="str">
        <f>VLOOKUP($A869,Szamlaszamok!$A868:F2424,2,FALSE)</f>
      </c>
      <c r="C869" t="str">
        <f>VLOOKUP($A869,Szamlaszamok!$A868:F2424,3,FALSE)</f>
      </c>
      <c r="D869" t="str">
        <f>VLOOKUP($A869,Szamlaszamok!$A868:F2424,4,FALSE)</f>
      </c>
      <c r="E869" t="str">
        <f>DATE(YEAR(D869),MONTH(D869),DAY(D869))</f>
      </c>
      <c r="F869" t="str">
        <f>CONCATENATE(C869,E869)</f>
      </c>
      <c r="G869" t="str">
        <f>TIMEVALUE(D869)</f>
      </c>
      <c r="H869" t="str">
        <f>COUNTIF(Szamlaszamok!A:A,A869)</f>
      </c>
      <c r="I869" t="str">
        <f>SUMIFS(Szamlaszamok!E:E,Szamlaszamok!A:A,Szamlaszamok_nonduplicate!A869)</f>
      </c>
    </row>
    <row r="870" spans="1:9">
      <c r="A870" t="s">
        <v>3270</v>
      </c>
      <c r="B870" t="str">
        <f>VLOOKUP($A870,Szamlaszamok!$A869:F2425,2,FALSE)</f>
      </c>
      <c r="C870" t="str">
        <f>VLOOKUP($A870,Szamlaszamok!$A869:F2425,3,FALSE)</f>
      </c>
      <c r="D870" t="str">
        <f>VLOOKUP($A870,Szamlaszamok!$A869:F2425,4,FALSE)</f>
      </c>
      <c r="E870" t="str">
        <f>DATE(YEAR(D870),MONTH(D870),DAY(D870))</f>
      </c>
      <c r="F870" t="str">
        <f>CONCATENATE(C870,E870)</f>
      </c>
      <c r="G870" t="str">
        <f>TIMEVALUE(D870)</f>
      </c>
      <c r="H870" t="str">
        <f>COUNTIF(Szamlaszamok!A:A,A870)</f>
      </c>
      <c r="I870" t="str">
        <f>SUMIFS(Szamlaszamok!E:E,Szamlaszamok!A:A,Szamlaszamok_nonduplicate!A870)</f>
      </c>
    </row>
    <row r="871" spans="1:9">
      <c r="A871" t="s">
        <v>3274</v>
      </c>
      <c r="B871" t="str">
        <f>VLOOKUP($A871,Szamlaszamok!$A870:F2426,2,FALSE)</f>
      </c>
      <c r="C871" t="str">
        <f>VLOOKUP($A871,Szamlaszamok!$A870:F2426,3,FALSE)</f>
      </c>
      <c r="D871" t="str">
        <f>VLOOKUP($A871,Szamlaszamok!$A870:F2426,4,FALSE)</f>
      </c>
      <c r="E871" t="str">
        <f>DATE(YEAR(D871),MONTH(D871),DAY(D871))</f>
      </c>
      <c r="F871" t="str">
        <f>CONCATENATE(C871,E871)</f>
      </c>
      <c r="G871" t="str">
        <f>TIMEVALUE(D871)</f>
      </c>
      <c r="H871" t="str">
        <f>COUNTIF(Szamlaszamok!A:A,A871)</f>
      </c>
      <c r="I871" t="str">
        <f>SUMIFS(Szamlaszamok!E:E,Szamlaszamok!A:A,Szamlaszamok_nonduplicate!A871)</f>
      </c>
    </row>
    <row r="872" spans="1:9">
      <c r="A872" t="s">
        <v>3278</v>
      </c>
      <c r="B872" t="str">
        <f>VLOOKUP($A872,Szamlaszamok!$A871:F2427,2,FALSE)</f>
      </c>
      <c r="C872" t="str">
        <f>VLOOKUP($A872,Szamlaszamok!$A871:F2427,3,FALSE)</f>
      </c>
      <c r="D872" t="str">
        <f>VLOOKUP($A872,Szamlaszamok!$A871:F2427,4,FALSE)</f>
      </c>
      <c r="E872" t="str">
        <f>DATE(YEAR(D872),MONTH(D872),DAY(D872))</f>
      </c>
      <c r="F872" t="str">
        <f>CONCATENATE(C872,E872)</f>
      </c>
      <c r="G872" t="str">
        <f>TIMEVALUE(D872)</f>
      </c>
      <c r="H872" t="str">
        <f>COUNTIF(Szamlaszamok!A:A,A872)</f>
      </c>
      <c r="I872" t="str">
        <f>SUMIFS(Szamlaszamok!E:E,Szamlaszamok!A:A,Szamlaszamok_nonduplicate!A872)</f>
      </c>
    </row>
    <row r="873" spans="1:9">
      <c r="A873" t="s">
        <v>3283</v>
      </c>
      <c r="B873" t="str">
        <f>VLOOKUP($A873,Szamlaszamok!$A872:F2428,2,FALSE)</f>
      </c>
      <c r="C873" t="str">
        <f>VLOOKUP($A873,Szamlaszamok!$A872:F2428,3,FALSE)</f>
      </c>
      <c r="D873" t="str">
        <f>VLOOKUP($A873,Szamlaszamok!$A872:F2428,4,FALSE)</f>
      </c>
      <c r="E873" t="str">
        <f>DATE(YEAR(D873),MONTH(D873),DAY(D873))</f>
      </c>
      <c r="F873" t="str">
        <f>CONCATENATE(C873,E873)</f>
      </c>
      <c r="G873" t="str">
        <f>TIMEVALUE(D873)</f>
      </c>
      <c r="H873" t="str">
        <f>COUNTIF(Szamlaszamok!A:A,A873)</f>
      </c>
      <c r="I873" t="str">
        <f>SUMIFS(Szamlaszamok!E:E,Szamlaszamok!A:A,Szamlaszamok_nonduplicate!A873)</f>
      </c>
    </row>
    <row r="874" spans="1:9">
      <c r="A874" t="s">
        <v>3287</v>
      </c>
      <c r="B874" t="str">
        <f>VLOOKUP($A874,Szamlaszamok!$A873:F2429,2,FALSE)</f>
      </c>
      <c r="C874" t="str">
        <f>VLOOKUP($A874,Szamlaszamok!$A873:F2429,3,FALSE)</f>
      </c>
      <c r="D874" t="str">
        <f>VLOOKUP($A874,Szamlaszamok!$A873:F2429,4,FALSE)</f>
      </c>
      <c r="E874" t="str">
        <f>DATE(YEAR(D874),MONTH(D874),DAY(D874))</f>
      </c>
      <c r="F874" t="str">
        <f>CONCATENATE(C874,E874)</f>
      </c>
      <c r="G874" t="str">
        <f>TIMEVALUE(D874)</f>
      </c>
      <c r="H874" t="str">
        <f>COUNTIF(Szamlaszamok!A:A,A874)</f>
      </c>
      <c r="I874" t="str">
        <f>SUMIFS(Szamlaszamok!E:E,Szamlaszamok!A:A,Szamlaszamok_nonduplicate!A874)</f>
      </c>
    </row>
    <row r="875" spans="1:9">
      <c r="A875" t="s">
        <v>3291</v>
      </c>
      <c r="B875" t="str">
        <f>VLOOKUP($A875,Szamlaszamok!$A874:F2430,2,FALSE)</f>
      </c>
      <c r="C875" t="str">
        <f>VLOOKUP($A875,Szamlaszamok!$A874:F2430,3,FALSE)</f>
      </c>
      <c r="D875" t="str">
        <f>VLOOKUP($A875,Szamlaszamok!$A874:F2430,4,FALSE)</f>
      </c>
      <c r="E875" t="str">
        <f>DATE(YEAR(D875),MONTH(D875),DAY(D875))</f>
      </c>
      <c r="F875" t="str">
        <f>CONCATENATE(C875,E875)</f>
      </c>
      <c r="G875" t="str">
        <f>TIMEVALUE(D875)</f>
      </c>
      <c r="H875" t="str">
        <f>COUNTIF(Szamlaszamok!A:A,A875)</f>
      </c>
      <c r="I875" t="str">
        <f>SUMIFS(Szamlaszamok!E:E,Szamlaszamok!A:A,Szamlaszamok_nonduplicate!A875)</f>
      </c>
    </row>
    <row r="876" spans="1:9">
      <c r="A876" t="s">
        <v>3295</v>
      </c>
      <c r="B876" t="str">
        <f>VLOOKUP($A876,Szamlaszamok!$A875:F2431,2,FALSE)</f>
      </c>
      <c r="C876" t="str">
        <f>VLOOKUP($A876,Szamlaszamok!$A875:F2431,3,FALSE)</f>
      </c>
      <c r="D876" t="str">
        <f>VLOOKUP($A876,Szamlaszamok!$A875:F2431,4,FALSE)</f>
      </c>
      <c r="E876" t="str">
        <f>DATE(YEAR(D876),MONTH(D876),DAY(D876))</f>
      </c>
      <c r="F876" t="str">
        <f>CONCATENATE(C876,E876)</f>
      </c>
      <c r="G876" t="str">
        <f>TIMEVALUE(D876)</f>
      </c>
      <c r="H876" t="str">
        <f>COUNTIF(Szamlaszamok!A:A,A876)</f>
      </c>
      <c r="I876" t="str">
        <f>SUMIFS(Szamlaszamok!E:E,Szamlaszamok!A:A,Szamlaszamok_nonduplicate!A876)</f>
      </c>
    </row>
    <row r="877" spans="1:9">
      <c r="A877" t="s">
        <v>3298</v>
      </c>
      <c r="B877" t="str">
        <f>VLOOKUP($A877,Szamlaszamok!$A876:F2432,2,FALSE)</f>
      </c>
      <c r="C877" t="str">
        <f>VLOOKUP($A877,Szamlaszamok!$A876:F2432,3,FALSE)</f>
      </c>
      <c r="D877" t="str">
        <f>VLOOKUP($A877,Szamlaszamok!$A876:F2432,4,FALSE)</f>
      </c>
      <c r="E877" t="str">
        <f>DATE(YEAR(D877),MONTH(D877),DAY(D877))</f>
      </c>
      <c r="F877" t="str">
        <f>CONCATENATE(C877,E877)</f>
      </c>
      <c r="G877" t="str">
        <f>TIMEVALUE(D877)</f>
      </c>
      <c r="H877" t="str">
        <f>COUNTIF(Szamlaszamok!A:A,A877)</f>
      </c>
      <c r="I877" t="str">
        <f>SUMIFS(Szamlaszamok!E:E,Szamlaszamok!A:A,Szamlaszamok_nonduplicate!A877)</f>
      </c>
    </row>
    <row r="878" spans="1:9">
      <c r="A878" t="s">
        <v>3302</v>
      </c>
      <c r="B878" t="str">
        <f>VLOOKUP($A878,Szamlaszamok!$A877:F2433,2,FALSE)</f>
      </c>
      <c r="C878" t="str">
        <f>VLOOKUP($A878,Szamlaszamok!$A877:F2433,3,FALSE)</f>
      </c>
      <c r="D878" t="str">
        <f>VLOOKUP($A878,Szamlaszamok!$A877:F2433,4,FALSE)</f>
      </c>
      <c r="E878" t="str">
        <f>DATE(YEAR(D878),MONTH(D878),DAY(D878))</f>
      </c>
      <c r="F878" t="str">
        <f>CONCATENATE(C878,E878)</f>
      </c>
      <c r="G878" t="str">
        <f>TIMEVALUE(D878)</f>
      </c>
      <c r="H878" t="str">
        <f>COUNTIF(Szamlaszamok!A:A,A878)</f>
      </c>
      <c r="I878" t="str">
        <f>SUMIFS(Szamlaszamok!E:E,Szamlaszamok!A:A,Szamlaszamok_nonduplicate!A878)</f>
      </c>
    </row>
    <row r="879" spans="1:9">
      <c r="A879" t="s">
        <v>3306</v>
      </c>
      <c r="B879" t="str">
        <f>VLOOKUP($A879,Szamlaszamok!$A878:F2434,2,FALSE)</f>
      </c>
      <c r="C879" t="str">
        <f>VLOOKUP($A879,Szamlaszamok!$A878:F2434,3,FALSE)</f>
      </c>
      <c r="D879" t="str">
        <f>VLOOKUP($A879,Szamlaszamok!$A878:F2434,4,FALSE)</f>
      </c>
      <c r="E879" t="str">
        <f>DATE(YEAR(D879),MONTH(D879),DAY(D879))</f>
      </c>
      <c r="F879" t="str">
        <f>CONCATENATE(C879,E879)</f>
      </c>
      <c r="G879" t="str">
        <f>TIMEVALUE(D879)</f>
      </c>
      <c r="H879" t="str">
        <f>COUNTIF(Szamlaszamok!A:A,A879)</f>
      </c>
      <c r="I879" t="str">
        <f>SUMIFS(Szamlaszamok!E:E,Szamlaszamok!A:A,Szamlaszamok_nonduplicate!A879)</f>
      </c>
    </row>
    <row r="880" spans="1:9">
      <c r="A880" t="s">
        <v>3310</v>
      </c>
      <c r="B880" t="str">
        <f>VLOOKUP($A880,Szamlaszamok!$A879:F2435,2,FALSE)</f>
      </c>
      <c r="C880" t="str">
        <f>VLOOKUP($A880,Szamlaszamok!$A879:F2435,3,FALSE)</f>
      </c>
      <c r="D880" t="str">
        <f>VLOOKUP($A880,Szamlaszamok!$A879:F2435,4,FALSE)</f>
      </c>
      <c r="E880" t="str">
        <f>DATE(YEAR(D880),MONTH(D880),DAY(D880))</f>
      </c>
      <c r="F880" t="str">
        <f>CONCATENATE(C880,E880)</f>
      </c>
      <c r="G880" t="str">
        <f>TIMEVALUE(D880)</f>
      </c>
      <c r="H880" t="str">
        <f>COUNTIF(Szamlaszamok!A:A,A880)</f>
      </c>
      <c r="I880" t="str">
        <f>SUMIFS(Szamlaszamok!E:E,Szamlaszamok!A:A,Szamlaszamok_nonduplicate!A880)</f>
      </c>
    </row>
    <row r="881" spans="1:9">
      <c r="A881" t="s">
        <v>3314</v>
      </c>
      <c r="B881" t="str">
        <f>VLOOKUP($A881,Szamlaszamok!$A880:F2436,2,FALSE)</f>
      </c>
      <c r="C881" t="str">
        <f>VLOOKUP($A881,Szamlaszamok!$A880:F2436,3,FALSE)</f>
      </c>
      <c r="D881" t="str">
        <f>VLOOKUP($A881,Szamlaszamok!$A880:F2436,4,FALSE)</f>
      </c>
      <c r="E881" t="str">
        <f>DATE(YEAR(D881),MONTH(D881),DAY(D881))</f>
      </c>
      <c r="F881" t="str">
        <f>CONCATENATE(C881,E881)</f>
      </c>
      <c r="G881" t="str">
        <f>TIMEVALUE(D881)</f>
      </c>
      <c r="H881" t="str">
        <f>COUNTIF(Szamlaszamok!A:A,A881)</f>
      </c>
      <c r="I881" t="str">
        <f>SUMIFS(Szamlaszamok!E:E,Szamlaszamok!A:A,Szamlaszamok_nonduplicate!A881)</f>
      </c>
    </row>
    <row r="882" spans="1:9">
      <c r="A882" t="s">
        <v>3318</v>
      </c>
      <c r="B882" t="str">
        <f>VLOOKUP($A882,Szamlaszamok!$A881:F2437,2,FALSE)</f>
      </c>
      <c r="C882" t="str">
        <f>VLOOKUP($A882,Szamlaszamok!$A881:F2437,3,FALSE)</f>
      </c>
      <c r="D882" t="str">
        <f>VLOOKUP($A882,Szamlaszamok!$A881:F2437,4,FALSE)</f>
      </c>
      <c r="E882" t="str">
        <f>DATE(YEAR(D882),MONTH(D882),DAY(D882))</f>
      </c>
      <c r="F882" t="str">
        <f>CONCATENATE(C882,E882)</f>
      </c>
      <c r="G882" t="str">
        <f>TIMEVALUE(D882)</f>
      </c>
      <c r="H882" t="str">
        <f>COUNTIF(Szamlaszamok!A:A,A882)</f>
      </c>
      <c r="I882" t="str">
        <f>SUMIFS(Szamlaszamok!E:E,Szamlaszamok!A:A,Szamlaszamok_nonduplicate!A882)</f>
      </c>
    </row>
    <row r="883" spans="1:9">
      <c r="A883" t="s">
        <v>3322</v>
      </c>
      <c r="B883" t="str">
        <f>VLOOKUP($A883,Szamlaszamok!$A882:F2438,2,FALSE)</f>
      </c>
      <c r="C883" t="str">
        <f>VLOOKUP($A883,Szamlaszamok!$A882:F2438,3,FALSE)</f>
      </c>
      <c r="D883" t="str">
        <f>VLOOKUP($A883,Szamlaszamok!$A882:F2438,4,FALSE)</f>
      </c>
      <c r="E883" t="str">
        <f>DATE(YEAR(D883),MONTH(D883),DAY(D883))</f>
      </c>
      <c r="F883" t="str">
        <f>CONCATENATE(C883,E883)</f>
      </c>
      <c r="G883" t="str">
        <f>TIMEVALUE(D883)</f>
      </c>
      <c r="H883" t="str">
        <f>COUNTIF(Szamlaszamok!A:A,A883)</f>
      </c>
      <c r="I883" t="str">
        <f>SUMIFS(Szamlaszamok!E:E,Szamlaszamok!A:A,Szamlaszamok_nonduplicate!A883)</f>
      </c>
    </row>
    <row r="884" spans="1:9">
      <c r="A884" t="s">
        <v>3326</v>
      </c>
      <c r="B884" t="str">
        <f>VLOOKUP($A884,Szamlaszamok!$A883:F2439,2,FALSE)</f>
      </c>
      <c r="C884" t="str">
        <f>VLOOKUP($A884,Szamlaszamok!$A883:F2439,3,FALSE)</f>
      </c>
      <c r="D884" t="str">
        <f>VLOOKUP($A884,Szamlaszamok!$A883:F2439,4,FALSE)</f>
      </c>
      <c r="E884" t="str">
        <f>DATE(YEAR(D884),MONTH(D884),DAY(D884))</f>
      </c>
      <c r="F884" t="str">
        <f>CONCATENATE(C884,E884)</f>
      </c>
      <c r="G884" t="str">
        <f>TIMEVALUE(D884)</f>
      </c>
      <c r="H884" t="str">
        <f>COUNTIF(Szamlaszamok!A:A,A884)</f>
      </c>
      <c r="I884" t="str">
        <f>SUMIFS(Szamlaszamok!E:E,Szamlaszamok!A:A,Szamlaszamok_nonduplicate!A884)</f>
      </c>
    </row>
    <row r="885" spans="1:9">
      <c r="A885" t="s">
        <v>3330</v>
      </c>
      <c r="B885" t="str">
        <f>VLOOKUP($A885,Szamlaszamok!$A884:F2440,2,FALSE)</f>
      </c>
      <c r="C885" t="str">
        <f>VLOOKUP($A885,Szamlaszamok!$A884:F2440,3,FALSE)</f>
      </c>
      <c r="D885" t="str">
        <f>VLOOKUP($A885,Szamlaszamok!$A884:F2440,4,FALSE)</f>
      </c>
      <c r="E885" t="str">
        <f>DATE(YEAR(D885),MONTH(D885),DAY(D885))</f>
      </c>
      <c r="F885" t="str">
        <f>CONCATENATE(C885,E885)</f>
      </c>
      <c r="G885" t="str">
        <f>TIMEVALUE(D885)</f>
      </c>
      <c r="H885" t="str">
        <f>COUNTIF(Szamlaszamok!A:A,A885)</f>
      </c>
      <c r="I885" t="str">
        <f>SUMIFS(Szamlaszamok!E:E,Szamlaszamok!A:A,Szamlaszamok_nonduplicate!A885)</f>
      </c>
    </row>
    <row r="886" spans="1:9">
      <c r="A886" t="s">
        <v>3334</v>
      </c>
      <c r="B886" t="str">
        <f>VLOOKUP($A886,Szamlaszamok!$A885:F2441,2,FALSE)</f>
      </c>
      <c r="C886" t="str">
        <f>VLOOKUP($A886,Szamlaszamok!$A885:F2441,3,FALSE)</f>
      </c>
      <c r="D886" t="str">
        <f>VLOOKUP($A886,Szamlaszamok!$A885:F2441,4,FALSE)</f>
      </c>
      <c r="E886" t="str">
        <f>DATE(YEAR(D886),MONTH(D886),DAY(D886))</f>
      </c>
      <c r="F886" t="str">
        <f>CONCATENATE(C886,E886)</f>
      </c>
      <c r="G886" t="str">
        <f>TIMEVALUE(D886)</f>
      </c>
      <c r="H886" t="str">
        <f>COUNTIF(Szamlaszamok!A:A,A886)</f>
      </c>
      <c r="I886" t="str">
        <f>SUMIFS(Szamlaszamok!E:E,Szamlaszamok!A:A,Szamlaszamok_nonduplicate!A886)</f>
      </c>
    </row>
    <row r="887" spans="1:9">
      <c r="A887" t="s">
        <v>3337</v>
      </c>
      <c r="B887" t="str">
        <f>VLOOKUP($A887,Szamlaszamok!$A886:F2442,2,FALSE)</f>
      </c>
      <c r="C887" t="str">
        <f>VLOOKUP($A887,Szamlaszamok!$A886:F2442,3,FALSE)</f>
      </c>
      <c r="D887" t="str">
        <f>VLOOKUP($A887,Szamlaszamok!$A886:F2442,4,FALSE)</f>
      </c>
      <c r="E887" t="str">
        <f>DATE(YEAR(D887),MONTH(D887),DAY(D887))</f>
      </c>
      <c r="F887" t="str">
        <f>CONCATENATE(C887,E887)</f>
      </c>
      <c r="G887" t="str">
        <f>TIMEVALUE(D887)</f>
      </c>
      <c r="H887" t="str">
        <f>COUNTIF(Szamlaszamok!A:A,A887)</f>
      </c>
      <c r="I887" t="str">
        <f>SUMIFS(Szamlaszamok!E:E,Szamlaszamok!A:A,Szamlaszamok_nonduplicate!A887)</f>
      </c>
    </row>
    <row r="888" spans="1:9">
      <c r="A888" t="s">
        <v>3340</v>
      </c>
      <c r="B888" t="str">
        <f>VLOOKUP($A888,Szamlaszamok!$A887:F2443,2,FALSE)</f>
      </c>
      <c r="C888" t="str">
        <f>VLOOKUP($A888,Szamlaszamok!$A887:F2443,3,FALSE)</f>
      </c>
      <c r="D888" t="str">
        <f>VLOOKUP($A888,Szamlaszamok!$A887:F2443,4,FALSE)</f>
      </c>
      <c r="E888" t="str">
        <f>DATE(YEAR(D888),MONTH(D888),DAY(D888))</f>
      </c>
      <c r="F888" t="str">
        <f>CONCATENATE(C888,E888)</f>
      </c>
      <c r="G888" t="str">
        <f>TIMEVALUE(D888)</f>
      </c>
      <c r="H888" t="str">
        <f>COUNTIF(Szamlaszamok!A:A,A888)</f>
      </c>
      <c r="I888" t="str">
        <f>SUMIFS(Szamlaszamok!E:E,Szamlaszamok!A:A,Szamlaszamok_nonduplicate!A888)</f>
      </c>
    </row>
    <row r="889" spans="1:9">
      <c r="A889" t="s">
        <v>3344</v>
      </c>
      <c r="B889" t="str">
        <f>VLOOKUP($A889,Szamlaszamok!$A888:F2444,2,FALSE)</f>
      </c>
      <c r="C889" t="str">
        <f>VLOOKUP($A889,Szamlaszamok!$A888:F2444,3,FALSE)</f>
      </c>
      <c r="D889" t="str">
        <f>VLOOKUP($A889,Szamlaszamok!$A888:F2444,4,FALSE)</f>
      </c>
      <c r="E889" t="str">
        <f>DATE(YEAR(D889),MONTH(D889),DAY(D889))</f>
      </c>
      <c r="F889" t="str">
        <f>CONCATENATE(C889,E889)</f>
      </c>
      <c r="G889" t="str">
        <f>TIMEVALUE(D889)</f>
      </c>
      <c r="H889" t="str">
        <f>COUNTIF(Szamlaszamok!A:A,A889)</f>
      </c>
      <c r="I889" t="str">
        <f>SUMIFS(Szamlaszamok!E:E,Szamlaszamok!A:A,Szamlaszamok_nonduplicate!A889)</f>
      </c>
    </row>
    <row r="890" spans="1:9">
      <c r="A890" t="s">
        <v>3348</v>
      </c>
      <c r="B890" t="str">
        <f>VLOOKUP($A890,Szamlaszamok!$A889:F2445,2,FALSE)</f>
      </c>
      <c r="C890" t="str">
        <f>VLOOKUP($A890,Szamlaszamok!$A889:F2445,3,FALSE)</f>
      </c>
      <c r="D890" t="str">
        <f>VLOOKUP($A890,Szamlaszamok!$A889:F2445,4,FALSE)</f>
      </c>
      <c r="E890" t="str">
        <f>DATE(YEAR(D890),MONTH(D890),DAY(D890))</f>
      </c>
      <c r="F890" t="str">
        <f>CONCATENATE(C890,E890)</f>
      </c>
      <c r="G890" t="str">
        <f>TIMEVALUE(D890)</f>
      </c>
      <c r="H890" t="str">
        <f>COUNTIF(Szamlaszamok!A:A,A890)</f>
      </c>
      <c r="I890" t="str">
        <f>SUMIFS(Szamlaszamok!E:E,Szamlaszamok!A:A,Szamlaszamok_nonduplicate!A890)</f>
      </c>
    </row>
    <row r="891" spans="1:9">
      <c r="A891" t="s">
        <v>3352</v>
      </c>
      <c r="B891" t="str">
        <f>VLOOKUP($A891,Szamlaszamok!$A890:F2446,2,FALSE)</f>
      </c>
      <c r="C891" t="str">
        <f>VLOOKUP($A891,Szamlaszamok!$A890:F2446,3,FALSE)</f>
      </c>
      <c r="D891" t="str">
        <f>VLOOKUP($A891,Szamlaszamok!$A890:F2446,4,FALSE)</f>
      </c>
      <c r="E891" t="str">
        <f>DATE(YEAR(D891),MONTH(D891),DAY(D891))</f>
      </c>
      <c r="F891" t="str">
        <f>CONCATENATE(C891,E891)</f>
      </c>
      <c r="G891" t="str">
        <f>TIMEVALUE(D891)</f>
      </c>
      <c r="H891" t="str">
        <f>COUNTIF(Szamlaszamok!A:A,A891)</f>
      </c>
      <c r="I891" t="str">
        <f>SUMIFS(Szamlaszamok!E:E,Szamlaszamok!A:A,Szamlaszamok_nonduplicate!A891)</f>
      </c>
    </row>
    <row r="892" spans="1:9">
      <c r="A892" t="s">
        <v>3356</v>
      </c>
      <c r="B892" t="str">
        <f>VLOOKUP($A892,Szamlaszamok!$A891:F2447,2,FALSE)</f>
      </c>
      <c r="C892" t="str">
        <f>VLOOKUP($A892,Szamlaszamok!$A891:F2447,3,FALSE)</f>
      </c>
      <c r="D892" t="str">
        <f>VLOOKUP($A892,Szamlaszamok!$A891:F2447,4,FALSE)</f>
      </c>
      <c r="E892" t="str">
        <f>DATE(YEAR(D892),MONTH(D892),DAY(D892))</f>
      </c>
      <c r="F892" t="str">
        <f>CONCATENATE(C892,E892)</f>
      </c>
      <c r="G892" t="str">
        <f>TIMEVALUE(D892)</f>
      </c>
      <c r="H892" t="str">
        <f>COUNTIF(Szamlaszamok!A:A,A892)</f>
      </c>
      <c r="I892" t="str">
        <f>SUMIFS(Szamlaszamok!E:E,Szamlaszamok!A:A,Szamlaszamok_nonduplicate!A892)</f>
      </c>
    </row>
    <row r="893" spans="1:9">
      <c r="A893" t="s">
        <v>3360</v>
      </c>
      <c r="B893" t="str">
        <f>VLOOKUP($A893,Szamlaszamok!$A892:F2448,2,FALSE)</f>
      </c>
      <c r="C893" t="str">
        <f>VLOOKUP($A893,Szamlaszamok!$A892:F2448,3,FALSE)</f>
      </c>
      <c r="D893" t="str">
        <f>VLOOKUP($A893,Szamlaszamok!$A892:F2448,4,FALSE)</f>
      </c>
      <c r="E893" t="str">
        <f>DATE(YEAR(D893),MONTH(D893),DAY(D893))</f>
      </c>
      <c r="F893" t="str">
        <f>CONCATENATE(C893,E893)</f>
      </c>
      <c r="G893" t="str">
        <f>TIMEVALUE(D893)</f>
      </c>
      <c r="H893" t="str">
        <f>COUNTIF(Szamlaszamok!A:A,A893)</f>
      </c>
      <c r="I893" t="str">
        <f>SUMIFS(Szamlaszamok!E:E,Szamlaszamok!A:A,Szamlaszamok_nonduplicate!A893)</f>
      </c>
    </row>
    <row r="894" spans="1:9">
      <c r="A894" t="s">
        <v>3363</v>
      </c>
      <c r="B894" t="str">
        <f>VLOOKUP($A894,Szamlaszamok!$A893:F2449,2,FALSE)</f>
      </c>
      <c r="C894" t="str">
        <f>VLOOKUP($A894,Szamlaszamok!$A893:F2449,3,FALSE)</f>
      </c>
      <c r="D894" t="str">
        <f>VLOOKUP($A894,Szamlaszamok!$A893:F2449,4,FALSE)</f>
      </c>
      <c r="E894" t="str">
        <f>DATE(YEAR(D894),MONTH(D894),DAY(D894))</f>
      </c>
      <c r="F894" t="str">
        <f>CONCATENATE(C894,E894)</f>
      </c>
      <c r="G894" t="str">
        <f>TIMEVALUE(D894)</f>
      </c>
      <c r="H894" t="str">
        <f>COUNTIF(Szamlaszamok!A:A,A894)</f>
      </c>
      <c r="I894" t="str">
        <f>SUMIFS(Szamlaszamok!E:E,Szamlaszamok!A:A,Szamlaszamok_nonduplicate!A894)</f>
      </c>
    </row>
    <row r="895" spans="1:9">
      <c r="A895" t="s">
        <v>3367</v>
      </c>
      <c r="B895" t="str">
        <f>VLOOKUP($A895,Szamlaszamok!$A894:F2450,2,FALSE)</f>
      </c>
      <c r="C895" t="str">
        <f>VLOOKUP($A895,Szamlaszamok!$A894:F2450,3,FALSE)</f>
      </c>
      <c r="D895" t="str">
        <f>VLOOKUP($A895,Szamlaszamok!$A894:F2450,4,FALSE)</f>
      </c>
      <c r="E895" t="str">
        <f>DATE(YEAR(D895),MONTH(D895),DAY(D895))</f>
      </c>
      <c r="F895" t="str">
        <f>CONCATENATE(C895,E895)</f>
      </c>
      <c r="G895" t="str">
        <f>TIMEVALUE(D895)</f>
      </c>
      <c r="H895" t="str">
        <f>COUNTIF(Szamlaszamok!A:A,A895)</f>
      </c>
      <c r="I895" t="str">
        <f>SUMIFS(Szamlaszamok!E:E,Szamlaszamok!A:A,Szamlaszamok_nonduplicate!A895)</f>
      </c>
    </row>
    <row r="896" spans="1:9">
      <c r="A896" t="s">
        <v>3371</v>
      </c>
      <c r="B896" t="str">
        <f>VLOOKUP($A896,Szamlaszamok!$A895:F2451,2,FALSE)</f>
      </c>
      <c r="C896" t="str">
        <f>VLOOKUP($A896,Szamlaszamok!$A895:F2451,3,FALSE)</f>
      </c>
      <c r="D896" t="str">
        <f>VLOOKUP($A896,Szamlaszamok!$A895:F2451,4,FALSE)</f>
      </c>
      <c r="E896" t="str">
        <f>DATE(YEAR(D896),MONTH(D896),DAY(D896))</f>
      </c>
      <c r="F896" t="str">
        <f>CONCATENATE(C896,E896)</f>
      </c>
      <c r="G896" t="str">
        <f>TIMEVALUE(D896)</f>
      </c>
      <c r="H896" t="str">
        <f>COUNTIF(Szamlaszamok!A:A,A896)</f>
      </c>
      <c r="I896" t="str">
        <f>SUMIFS(Szamlaszamok!E:E,Szamlaszamok!A:A,Szamlaszamok_nonduplicate!A896)</f>
      </c>
    </row>
    <row r="897" spans="1:9">
      <c r="A897" t="s">
        <v>3375</v>
      </c>
      <c r="B897" t="str">
        <f>VLOOKUP($A897,Szamlaszamok!$A896:F2452,2,FALSE)</f>
      </c>
      <c r="C897" t="str">
        <f>VLOOKUP($A897,Szamlaszamok!$A896:F2452,3,FALSE)</f>
      </c>
      <c r="D897" t="str">
        <f>VLOOKUP($A897,Szamlaszamok!$A896:F2452,4,FALSE)</f>
      </c>
      <c r="E897" t="str">
        <f>DATE(YEAR(D897),MONTH(D897),DAY(D897))</f>
      </c>
      <c r="F897" t="str">
        <f>CONCATENATE(C897,E897)</f>
      </c>
      <c r="G897" t="str">
        <f>TIMEVALUE(D897)</f>
      </c>
      <c r="H897" t="str">
        <f>COUNTIF(Szamlaszamok!A:A,A897)</f>
      </c>
      <c r="I897" t="str">
        <f>SUMIFS(Szamlaszamok!E:E,Szamlaszamok!A:A,Szamlaszamok_nonduplicate!A897)</f>
      </c>
    </row>
    <row r="898" spans="1:9">
      <c r="A898" t="s">
        <v>3378</v>
      </c>
      <c r="B898" t="str">
        <f>VLOOKUP($A898,Szamlaszamok!$A897:F2453,2,FALSE)</f>
      </c>
      <c r="C898" t="str">
        <f>VLOOKUP($A898,Szamlaszamok!$A897:F2453,3,FALSE)</f>
      </c>
      <c r="D898" t="str">
        <f>VLOOKUP($A898,Szamlaszamok!$A897:F2453,4,FALSE)</f>
      </c>
      <c r="E898" t="str">
        <f>DATE(YEAR(D898),MONTH(D898),DAY(D898))</f>
      </c>
      <c r="F898" t="str">
        <f>CONCATENATE(C898,E898)</f>
      </c>
      <c r="G898" t="str">
        <f>TIMEVALUE(D898)</f>
      </c>
      <c r="H898" t="str">
        <f>COUNTIF(Szamlaszamok!A:A,A898)</f>
      </c>
      <c r="I898" t="str">
        <f>SUMIFS(Szamlaszamok!E:E,Szamlaszamok!A:A,Szamlaszamok_nonduplicate!A898)</f>
      </c>
    </row>
    <row r="899" spans="1:9">
      <c r="A899" t="s">
        <v>3382</v>
      </c>
      <c r="B899" t="str">
        <f>VLOOKUP($A899,Szamlaszamok!$A898:F2454,2,FALSE)</f>
      </c>
      <c r="C899" t="str">
        <f>VLOOKUP($A899,Szamlaszamok!$A898:F2454,3,FALSE)</f>
      </c>
      <c r="D899" t="str">
        <f>VLOOKUP($A899,Szamlaszamok!$A898:F2454,4,FALSE)</f>
      </c>
      <c r="E899" t="str">
        <f>DATE(YEAR(D899),MONTH(D899),DAY(D899))</f>
      </c>
      <c r="F899" t="str">
        <f>CONCATENATE(C899,E899)</f>
      </c>
      <c r="G899" t="str">
        <f>TIMEVALUE(D899)</f>
      </c>
      <c r="H899" t="str">
        <f>COUNTIF(Szamlaszamok!A:A,A899)</f>
      </c>
      <c r="I899" t="str">
        <f>SUMIFS(Szamlaszamok!E:E,Szamlaszamok!A:A,Szamlaszamok_nonduplicate!A899)</f>
      </c>
    </row>
    <row r="900" spans="1:9">
      <c r="A900" t="s">
        <v>3386</v>
      </c>
      <c r="B900" t="str">
        <f>VLOOKUP($A900,Szamlaszamok!$A899:F2455,2,FALSE)</f>
      </c>
      <c r="C900" t="str">
        <f>VLOOKUP($A900,Szamlaszamok!$A899:F2455,3,FALSE)</f>
      </c>
      <c r="D900" t="str">
        <f>VLOOKUP($A900,Szamlaszamok!$A899:F2455,4,FALSE)</f>
      </c>
      <c r="E900" t="str">
        <f>DATE(YEAR(D900),MONTH(D900),DAY(D900))</f>
      </c>
      <c r="F900" t="str">
        <f>CONCATENATE(C900,E900)</f>
      </c>
      <c r="G900" t="str">
        <f>TIMEVALUE(D900)</f>
      </c>
      <c r="H900" t="str">
        <f>COUNTIF(Szamlaszamok!A:A,A900)</f>
      </c>
      <c r="I900" t="str">
        <f>SUMIFS(Szamlaszamok!E:E,Szamlaszamok!A:A,Szamlaszamok_nonduplicate!A900)</f>
      </c>
    </row>
    <row r="901" spans="1:9">
      <c r="A901" t="s">
        <v>3390</v>
      </c>
      <c r="B901" t="str">
        <f>VLOOKUP($A901,Szamlaszamok!$A900:F2456,2,FALSE)</f>
      </c>
      <c r="C901" t="str">
        <f>VLOOKUP($A901,Szamlaszamok!$A900:F2456,3,FALSE)</f>
      </c>
      <c r="D901" t="str">
        <f>VLOOKUP($A901,Szamlaszamok!$A900:F2456,4,FALSE)</f>
      </c>
      <c r="E901" t="str">
        <f>DATE(YEAR(D901),MONTH(D901),DAY(D901))</f>
      </c>
      <c r="F901" t="str">
        <f>CONCATENATE(C901,E901)</f>
      </c>
      <c r="G901" t="str">
        <f>TIMEVALUE(D901)</f>
      </c>
      <c r="H901" t="str">
        <f>COUNTIF(Szamlaszamok!A:A,A901)</f>
      </c>
      <c r="I901" t="str">
        <f>SUMIFS(Szamlaszamok!E:E,Szamlaszamok!A:A,Szamlaszamok_nonduplicate!A901)</f>
      </c>
    </row>
    <row r="902" spans="1:9">
      <c r="A902" t="s">
        <v>3394</v>
      </c>
      <c r="B902" t="str">
        <f>VLOOKUP($A902,Szamlaszamok!$A901:F2457,2,FALSE)</f>
      </c>
      <c r="C902" t="str">
        <f>VLOOKUP($A902,Szamlaszamok!$A901:F2457,3,FALSE)</f>
      </c>
      <c r="D902" t="str">
        <f>VLOOKUP($A902,Szamlaszamok!$A901:F2457,4,FALSE)</f>
      </c>
      <c r="E902" t="str">
        <f>DATE(YEAR(D902),MONTH(D902),DAY(D902))</f>
      </c>
      <c r="F902" t="str">
        <f>CONCATENATE(C902,E902)</f>
      </c>
      <c r="G902" t="str">
        <f>TIMEVALUE(D902)</f>
      </c>
      <c r="H902" t="str">
        <f>COUNTIF(Szamlaszamok!A:A,A902)</f>
      </c>
      <c r="I902" t="str">
        <f>SUMIFS(Szamlaszamok!E:E,Szamlaszamok!A:A,Szamlaszamok_nonduplicate!A902)</f>
      </c>
    </row>
    <row r="903" spans="1:9">
      <c r="A903" t="s">
        <v>3397</v>
      </c>
      <c r="B903" t="str">
        <f>VLOOKUP($A903,Szamlaszamok!$A902:F2458,2,FALSE)</f>
      </c>
      <c r="C903" t="str">
        <f>VLOOKUP($A903,Szamlaszamok!$A902:F2458,3,FALSE)</f>
      </c>
      <c r="D903" t="str">
        <f>VLOOKUP($A903,Szamlaszamok!$A902:F2458,4,FALSE)</f>
      </c>
      <c r="E903" t="str">
        <f>DATE(YEAR(D903),MONTH(D903),DAY(D903))</f>
      </c>
      <c r="F903" t="str">
        <f>CONCATENATE(C903,E903)</f>
      </c>
      <c r="G903" t="str">
        <f>TIMEVALUE(D903)</f>
      </c>
      <c r="H903" t="str">
        <f>COUNTIF(Szamlaszamok!A:A,A903)</f>
      </c>
      <c r="I903" t="str">
        <f>SUMIFS(Szamlaszamok!E:E,Szamlaszamok!A:A,Szamlaszamok_nonduplicate!A903)</f>
      </c>
    </row>
    <row r="904" spans="1:9">
      <c r="A904" t="s">
        <v>3401</v>
      </c>
      <c r="B904" t="str">
        <f>VLOOKUP($A904,Szamlaszamok!$A903:F2459,2,FALSE)</f>
      </c>
      <c r="C904" t="str">
        <f>VLOOKUP($A904,Szamlaszamok!$A903:F2459,3,FALSE)</f>
      </c>
      <c r="D904" t="str">
        <f>VLOOKUP($A904,Szamlaszamok!$A903:F2459,4,FALSE)</f>
      </c>
      <c r="E904" t="str">
        <f>DATE(YEAR(D904),MONTH(D904),DAY(D904))</f>
      </c>
      <c r="F904" t="str">
        <f>CONCATENATE(C904,E904)</f>
      </c>
      <c r="G904" t="str">
        <f>TIMEVALUE(D904)</f>
      </c>
      <c r="H904" t="str">
        <f>COUNTIF(Szamlaszamok!A:A,A904)</f>
      </c>
      <c r="I904" t="str">
        <f>SUMIFS(Szamlaszamok!E:E,Szamlaszamok!A:A,Szamlaszamok_nonduplicate!A904)</f>
      </c>
    </row>
    <row r="905" spans="1:9">
      <c r="A905" t="s">
        <v>3405</v>
      </c>
      <c r="B905" t="str">
        <f>VLOOKUP($A905,Szamlaszamok!$A904:F2460,2,FALSE)</f>
      </c>
      <c r="C905" t="str">
        <f>VLOOKUP($A905,Szamlaszamok!$A904:F2460,3,FALSE)</f>
      </c>
      <c r="D905" t="str">
        <f>VLOOKUP($A905,Szamlaszamok!$A904:F2460,4,FALSE)</f>
      </c>
      <c r="E905" t="str">
        <f>DATE(YEAR(D905),MONTH(D905),DAY(D905))</f>
      </c>
      <c r="F905" t="str">
        <f>CONCATENATE(C905,E905)</f>
      </c>
      <c r="G905" t="str">
        <f>TIMEVALUE(D905)</f>
      </c>
      <c r="H905" t="str">
        <f>COUNTIF(Szamlaszamok!A:A,A905)</f>
      </c>
      <c r="I905" t="str">
        <f>SUMIFS(Szamlaszamok!E:E,Szamlaszamok!A:A,Szamlaszamok_nonduplicate!A905)</f>
      </c>
    </row>
    <row r="906" spans="1:9">
      <c r="A906" t="s">
        <v>3408</v>
      </c>
      <c r="B906" t="str">
        <f>VLOOKUP($A906,Szamlaszamok!$A905:F2461,2,FALSE)</f>
      </c>
      <c r="C906" t="str">
        <f>VLOOKUP($A906,Szamlaszamok!$A905:F2461,3,FALSE)</f>
      </c>
      <c r="D906" t="str">
        <f>VLOOKUP($A906,Szamlaszamok!$A905:F2461,4,FALSE)</f>
      </c>
      <c r="E906" t="str">
        <f>DATE(YEAR(D906),MONTH(D906),DAY(D906))</f>
      </c>
      <c r="F906" t="str">
        <f>CONCATENATE(C906,E906)</f>
      </c>
      <c r="G906" t="str">
        <f>TIMEVALUE(D906)</f>
      </c>
      <c r="H906" t="str">
        <f>COUNTIF(Szamlaszamok!A:A,A906)</f>
      </c>
      <c r="I906" t="str">
        <f>SUMIFS(Szamlaszamok!E:E,Szamlaszamok!A:A,Szamlaszamok_nonduplicate!A906)</f>
      </c>
    </row>
    <row r="907" spans="1:9">
      <c r="A907" t="s">
        <v>3411</v>
      </c>
      <c r="B907" t="str">
        <f>VLOOKUP($A907,Szamlaszamok!$A906:F2462,2,FALSE)</f>
      </c>
      <c r="C907" t="str">
        <f>VLOOKUP($A907,Szamlaszamok!$A906:F2462,3,FALSE)</f>
      </c>
      <c r="D907" t="str">
        <f>VLOOKUP($A907,Szamlaszamok!$A906:F2462,4,FALSE)</f>
      </c>
      <c r="E907" t="str">
        <f>DATE(YEAR(D907),MONTH(D907),DAY(D907))</f>
      </c>
      <c r="F907" t="str">
        <f>CONCATENATE(C907,E907)</f>
      </c>
      <c r="G907" t="str">
        <f>TIMEVALUE(D907)</f>
      </c>
      <c r="H907" t="str">
        <f>COUNTIF(Szamlaszamok!A:A,A907)</f>
      </c>
      <c r="I907" t="str">
        <f>SUMIFS(Szamlaszamok!E:E,Szamlaszamok!A:A,Szamlaszamok_nonduplicate!A907)</f>
      </c>
    </row>
    <row r="908" spans="1:9">
      <c r="A908" t="s">
        <v>3415</v>
      </c>
      <c r="B908" t="str">
        <f>VLOOKUP($A908,Szamlaszamok!$A907:F2463,2,FALSE)</f>
      </c>
      <c r="C908" t="str">
        <f>VLOOKUP($A908,Szamlaszamok!$A907:F2463,3,FALSE)</f>
      </c>
      <c r="D908" t="str">
        <f>VLOOKUP($A908,Szamlaszamok!$A907:F2463,4,FALSE)</f>
      </c>
      <c r="E908" t="str">
        <f>DATE(YEAR(D908),MONTH(D908),DAY(D908))</f>
      </c>
      <c r="F908" t="str">
        <f>CONCATENATE(C908,E908)</f>
      </c>
      <c r="G908" t="str">
        <f>TIMEVALUE(D908)</f>
      </c>
      <c r="H908" t="str">
        <f>COUNTIF(Szamlaszamok!A:A,A908)</f>
      </c>
      <c r="I908" t="str">
        <f>SUMIFS(Szamlaszamok!E:E,Szamlaszamok!A:A,Szamlaszamok_nonduplicate!A908)</f>
      </c>
    </row>
    <row r="909" spans="1:9">
      <c r="A909" t="s">
        <v>3419</v>
      </c>
      <c r="B909" t="str">
        <f>VLOOKUP($A909,Szamlaszamok!$A908:F2464,2,FALSE)</f>
      </c>
      <c r="C909" t="str">
        <f>VLOOKUP($A909,Szamlaszamok!$A908:F2464,3,FALSE)</f>
      </c>
      <c r="D909" t="str">
        <f>VLOOKUP($A909,Szamlaszamok!$A908:F2464,4,FALSE)</f>
      </c>
      <c r="E909" t="str">
        <f>DATE(YEAR(D909),MONTH(D909),DAY(D909))</f>
      </c>
      <c r="F909" t="str">
        <f>CONCATENATE(C909,E909)</f>
      </c>
      <c r="G909" t="str">
        <f>TIMEVALUE(D909)</f>
      </c>
      <c r="H909" t="str">
        <f>COUNTIF(Szamlaszamok!A:A,A909)</f>
      </c>
      <c r="I909" t="str">
        <f>SUMIFS(Szamlaszamok!E:E,Szamlaszamok!A:A,Szamlaszamok_nonduplicate!A909)</f>
      </c>
    </row>
    <row r="910" spans="1:9">
      <c r="A910" t="s">
        <v>3423</v>
      </c>
      <c r="B910" t="str">
        <f>VLOOKUP($A910,Szamlaszamok!$A909:F2465,2,FALSE)</f>
      </c>
      <c r="C910" t="str">
        <f>VLOOKUP($A910,Szamlaszamok!$A909:F2465,3,FALSE)</f>
      </c>
      <c r="D910" t="str">
        <f>VLOOKUP($A910,Szamlaszamok!$A909:F2465,4,FALSE)</f>
      </c>
      <c r="E910" t="str">
        <f>DATE(YEAR(D910),MONTH(D910),DAY(D910))</f>
      </c>
      <c r="F910" t="str">
        <f>CONCATENATE(C910,E910)</f>
      </c>
      <c r="G910" t="str">
        <f>TIMEVALUE(D910)</f>
      </c>
      <c r="H910" t="str">
        <f>COUNTIF(Szamlaszamok!A:A,A910)</f>
      </c>
      <c r="I910" t="str">
        <f>SUMIFS(Szamlaszamok!E:E,Szamlaszamok!A:A,Szamlaszamok_nonduplicate!A910)</f>
      </c>
    </row>
    <row r="911" spans="1:9">
      <c r="A911" t="s">
        <v>3425</v>
      </c>
      <c r="B911" t="str">
        <f>VLOOKUP($A911,Szamlaszamok!$A910:F2466,2,FALSE)</f>
      </c>
      <c r="C911" t="str">
        <f>VLOOKUP($A911,Szamlaszamok!$A910:F2466,3,FALSE)</f>
      </c>
      <c r="D911" t="str">
        <f>VLOOKUP($A911,Szamlaszamok!$A910:F2466,4,FALSE)</f>
      </c>
      <c r="E911" t="str">
        <f>DATE(YEAR(D911),MONTH(D911),DAY(D911))</f>
      </c>
      <c r="F911" t="str">
        <f>CONCATENATE(C911,E911)</f>
      </c>
      <c r="G911" t="str">
        <f>TIMEVALUE(D911)</f>
      </c>
      <c r="H911" t="str">
        <f>COUNTIF(Szamlaszamok!A:A,A911)</f>
      </c>
      <c r="I911" t="str">
        <f>SUMIFS(Szamlaszamok!E:E,Szamlaszamok!A:A,Szamlaszamok_nonduplicate!A911)</f>
      </c>
    </row>
    <row r="912" spans="1:9">
      <c r="A912" t="s">
        <v>3429</v>
      </c>
      <c r="B912" t="str">
        <f>VLOOKUP($A912,Szamlaszamok!$A911:F2467,2,FALSE)</f>
      </c>
      <c r="C912" t="str">
        <f>VLOOKUP($A912,Szamlaszamok!$A911:F2467,3,FALSE)</f>
      </c>
      <c r="D912" t="str">
        <f>VLOOKUP($A912,Szamlaszamok!$A911:F2467,4,FALSE)</f>
      </c>
      <c r="E912" t="str">
        <f>DATE(YEAR(D912),MONTH(D912),DAY(D912))</f>
      </c>
      <c r="F912" t="str">
        <f>CONCATENATE(C912,E912)</f>
      </c>
      <c r="G912" t="str">
        <f>TIMEVALUE(D912)</f>
      </c>
      <c r="H912" t="str">
        <f>COUNTIF(Szamlaszamok!A:A,A912)</f>
      </c>
      <c r="I912" t="str">
        <f>SUMIFS(Szamlaszamok!E:E,Szamlaszamok!A:A,Szamlaszamok_nonduplicate!A912)</f>
      </c>
    </row>
    <row r="913" spans="1:9">
      <c r="A913" t="s">
        <v>3433</v>
      </c>
      <c r="B913" t="str">
        <f>VLOOKUP($A913,Szamlaszamok!$A912:F2468,2,FALSE)</f>
      </c>
      <c r="C913" t="str">
        <f>VLOOKUP($A913,Szamlaszamok!$A912:F2468,3,FALSE)</f>
      </c>
      <c r="D913" t="str">
        <f>VLOOKUP($A913,Szamlaszamok!$A912:F2468,4,FALSE)</f>
      </c>
      <c r="E913" t="str">
        <f>DATE(YEAR(D913),MONTH(D913),DAY(D913))</f>
      </c>
      <c r="F913" t="str">
        <f>CONCATENATE(C913,E913)</f>
      </c>
      <c r="G913" t="str">
        <f>TIMEVALUE(D913)</f>
      </c>
      <c r="H913" t="str">
        <f>COUNTIF(Szamlaszamok!A:A,A913)</f>
      </c>
      <c r="I913" t="str">
        <f>SUMIFS(Szamlaszamok!E:E,Szamlaszamok!A:A,Szamlaszamok_nonduplicate!A913)</f>
      </c>
    </row>
    <row r="914" spans="1:9">
      <c r="A914" t="s">
        <v>3437</v>
      </c>
      <c r="B914" t="str">
        <f>VLOOKUP($A914,Szamlaszamok!$A913:F2469,2,FALSE)</f>
      </c>
      <c r="C914" t="str">
        <f>VLOOKUP($A914,Szamlaszamok!$A913:F2469,3,FALSE)</f>
      </c>
      <c r="D914" t="str">
        <f>VLOOKUP($A914,Szamlaszamok!$A913:F2469,4,FALSE)</f>
      </c>
      <c r="E914" t="str">
        <f>DATE(YEAR(D914),MONTH(D914),DAY(D914))</f>
      </c>
      <c r="F914" t="str">
        <f>CONCATENATE(C914,E914)</f>
      </c>
      <c r="G914" t="str">
        <f>TIMEVALUE(D914)</f>
      </c>
      <c r="H914" t="str">
        <f>COUNTIF(Szamlaszamok!A:A,A914)</f>
      </c>
      <c r="I914" t="str">
        <f>SUMIFS(Szamlaszamok!E:E,Szamlaszamok!A:A,Szamlaszamok_nonduplicate!A914)</f>
      </c>
    </row>
    <row r="915" spans="1:9">
      <c r="A915" t="s">
        <v>3442</v>
      </c>
      <c r="B915" t="str">
        <f>VLOOKUP($A915,Szamlaszamok!$A914:F2470,2,FALSE)</f>
      </c>
      <c r="C915" t="str">
        <f>VLOOKUP($A915,Szamlaszamok!$A914:F2470,3,FALSE)</f>
      </c>
      <c r="D915" t="str">
        <f>VLOOKUP($A915,Szamlaszamok!$A914:F2470,4,FALSE)</f>
      </c>
      <c r="E915" t="str">
        <f>DATE(YEAR(D915),MONTH(D915),DAY(D915))</f>
      </c>
      <c r="F915" t="str">
        <f>CONCATENATE(C915,E915)</f>
      </c>
      <c r="G915" t="str">
        <f>TIMEVALUE(D915)</f>
      </c>
      <c r="H915" t="str">
        <f>COUNTIF(Szamlaszamok!A:A,A915)</f>
      </c>
      <c r="I915" t="str">
        <f>SUMIFS(Szamlaszamok!E:E,Szamlaszamok!A:A,Szamlaszamok_nonduplicate!A915)</f>
      </c>
    </row>
    <row r="916" spans="1:9">
      <c r="A916" t="s">
        <v>3446</v>
      </c>
      <c r="B916" t="str">
        <f>VLOOKUP($A916,Szamlaszamok!$A915:F2471,2,FALSE)</f>
      </c>
      <c r="C916" t="str">
        <f>VLOOKUP($A916,Szamlaszamok!$A915:F2471,3,FALSE)</f>
      </c>
      <c r="D916" t="str">
        <f>VLOOKUP($A916,Szamlaszamok!$A915:F2471,4,FALSE)</f>
      </c>
      <c r="E916" t="str">
        <f>DATE(YEAR(D916),MONTH(D916),DAY(D916))</f>
      </c>
      <c r="F916" t="str">
        <f>CONCATENATE(C916,E916)</f>
      </c>
      <c r="G916" t="str">
        <f>TIMEVALUE(D916)</f>
      </c>
      <c r="H916" t="str">
        <f>COUNTIF(Szamlaszamok!A:A,A916)</f>
      </c>
      <c r="I916" t="str">
        <f>SUMIFS(Szamlaszamok!E:E,Szamlaszamok!A:A,Szamlaszamok_nonduplicate!A916)</f>
      </c>
    </row>
    <row r="917" spans="1:9">
      <c r="A917" t="s">
        <v>3450</v>
      </c>
      <c r="B917" t="str">
        <f>VLOOKUP($A917,Szamlaszamok!$A916:F2472,2,FALSE)</f>
      </c>
      <c r="C917" t="str">
        <f>VLOOKUP($A917,Szamlaszamok!$A916:F2472,3,FALSE)</f>
      </c>
      <c r="D917" t="str">
        <f>VLOOKUP($A917,Szamlaszamok!$A916:F2472,4,FALSE)</f>
      </c>
      <c r="E917" t="str">
        <f>DATE(YEAR(D917),MONTH(D917),DAY(D917))</f>
      </c>
      <c r="F917" t="str">
        <f>CONCATENATE(C917,E917)</f>
      </c>
      <c r="G917" t="str">
        <f>TIMEVALUE(D917)</f>
      </c>
      <c r="H917" t="str">
        <f>COUNTIF(Szamlaszamok!A:A,A917)</f>
      </c>
      <c r="I917" t="str">
        <f>SUMIFS(Szamlaszamok!E:E,Szamlaszamok!A:A,Szamlaszamok_nonduplicate!A917)</f>
      </c>
    </row>
    <row r="918" spans="1:9">
      <c r="A918" t="s">
        <v>3453</v>
      </c>
      <c r="B918" t="str">
        <f>VLOOKUP($A918,Szamlaszamok!$A917:F2473,2,FALSE)</f>
      </c>
      <c r="C918" t="str">
        <f>VLOOKUP($A918,Szamlaszamok!$A917:F2473,3,FALSE)</f>
      </c>
      <c r="D918" t="str">
        <f>VLOOKUP($A918,Szamlaszamok!$A917:F2473,4,FALSE)</f>
      </c>
      <c r="E918" t="str">
        <f>DATE(YEAR(D918),MONTH(D918),DAY(D918))</f>
      </c>
      <c r="F918" t="str">
        <f>CONCATENATE(C918,E918)</f>
      </c>
      <c r="G918" t="str">
        <f>TIMEVALUE(D918)</f>
      </c>
      <c r="H918" t="str">
        <f>COUNTIF(Szamlaszamok!A:A,A918)</f>
      </c>
      <c r="I918" t="str">
        <f>SUMIFS(Szamlaszamok!E:E,Szamlaszamok!A:A,Szamlaszamok_nonduplicate!A918)</f>
      </c>
    </row>
    <row r="919" spans="1:9">
      <c r="A919" t="s">
        <v>3457</v>
      </c>
      <c r="B919" t="str">
        <f>VLOOKUP($A919,Szamlaszamok!$A918:F2474,2,FALSE)</f>
      </c>
      <c r="C919" t="str">
        <f>VLOOKUP($A919,Szamlaszamok!$A918:F2474,3,FALSE)</f>
      </c>
      <c r="D919" t="str">
        <f>VLOOKUP($A919,Szamlaszamok!$A918:F2474,4,FALSE)</f>
      </c>
      <c r="E919" t="str">
        <f>DATE(YEAR(D919),MONTH(D919),DAY(D919))</f>
      </c>
      <c r="F919" t="str">
        <f>CONCATENATE(C919,E919)</f>
      </c>
      <c r="G919" t="str">
        <f>TIMEVALUE(D919)</f>
      </c>
      <c r="H919" t="str">
        <f>COUNTIF(Szamlaszamok!A:A,A919)</f>
      </c>
      <c r="I919" t="str">
        <f>SUMIFS(Szamlaszamok!E:E,Szamlaszamok!A:A,Szamlaszamok_nonduplicate!A919)</f>
      </c>
    </row>
    <row r="920" spans="1:9">
      <c r="A920" t="s">
        <v>3461</v>
      </c>
      <c r="B920" t="str">
        <f>VLOOKUP($A920,Szamlaszamok!$A919:F2475,2,FALSE)</f>
      </c>
      <c r="C920" t="str">
        <f>VLOOKUP($A920,Szamlaszamok!$A919:F2475,3,FALSE)</f>
      </c>
      <c r="D920" t="str">
        <f>VLOOKUP($A920,Szamlaszamok!$A919:F2475,4,FALSE)</f>
      </c>
      <c r="E920" t="str">
        <f>DATE(YEAR(D920),MONTH(D920),DAY(D920))</f>
      </c>
      <c r="F920" t="str">
        <f>CONCATENATE(C920,E920)</f>
      </c>
      <c r="G920" t="str">
        <f>TIMEVALUE(D920)</f>
      </c>
      <c r="H920" t="str">
        <f>COUNTIF(Szamlaszamok!A:A,A920)</f>
      </c>
      <c r="I920" t="str">
        <f>SUMIFS(Szamlaszamok!E:E,Szamlaszamok!A:A,Szamlaszamok_nonduplicate!A920)</f>
      </c>
    </row>
    <row r="921" spans="1:9">
      <c r="A921" t="s">
        <v>3464</v>
      </c>
      <c r="B921" t="str">
        <f>VLOOKUP($A921,Szamlaszamok!$A920:F2476,2,FALSE)</f>
      </c>
      <c r="C921" t="str">
        <f>VLOOKUP($A921,Szamlaszamok!$A920:F2476,3,FALSE)</f>
      </c>
      <c r="D921" t="str">
        <f>VLOOKUP($A921,Szamlaszamok!$A920:F2476,4,FALSE)</f>
      </c>
      <c r="E921" t="str">
        <f>DATE(YEAR(D921),MONTH(D921),DAY(D921))</f>
      </c>
      <c r="F921" t="str">
        <f>CONCATENATE(C921,E921)</f>
      </c>
      <c r="G921" t="str">
        <f>TIMEVALUE(D921)</f>
      </c>
      <c r="H921" t="str">
        <f>COUNTIF(Szamlaszamok!A:A,A921)</f>
      </c>
      <c r="I921" t="str">
        <f>SUMIFS(Szamlaszamok!E:E,Szamlaszamok!A:A,Szamlaszamok_nonduplicate!A921)</f>
      </c>
    </row>
    <row r="922" spans="1:9">
      <c r="A922" t="s">
        <v>3468</v>
      </c>
      <c r="B922" t="str">
        <f>VLOOKUP($A922,Szamlaszamok!$A921:F2477,2,FALSE)</f>
      </c>
      <c r="C922" t="str">
        <f>VLOOKUP($A922,Szamlaszamok!$A921:F2477,3,FALSE)</f>
      </c>
      <c r="D922" t="str">
        <f>VLOOKUP($A922,Szamlaszamok!$A921:F2477,4,FALSE)</f>
      </c>
      <c r="E922" t="str">
        <f>DATE(YEAR(D922),MONTH(D922),DAY(D922))</f>
      </c>
      <c r="F922" t="str">
        <f>CONCATENATE(C922,E922)</f>
      </c>
      <c r="G922" t="str">
        <f>TIMEVALUE(D922)</f>
      </c>
      <c r="H922" t="str">
        <f>COUNTIF(Szamlaszamok!A:A,A922)</f>
      </c>
      <c r="I922" t="str">
        <f>SUMIFS(Szamlaszamok!E:E,Szamlaszamok!A:A,Szamlaszamok_nonduplicate!A922)</f>
      </c>
    </row>
    <row r="923" spans="1:9">
      <c r="A923" t="s">
        <v>3471</v>
      </c>
      <c r="B923" t="str">
        <f>VLOOKUP($A923,Szamlaszamok!$A922:F2478,2,FALSE)</f>
      </c>
      <c r="C923" t="str">
        <f>VLOOKUP($A923,Szamlaszamok!$A922:F2478,3,FALSE)</f>
      </c>
      <c r="D923" t="str">
        <f>VLOOKUP($A923,Szamlaszamok!$A922:F2478,4,FALSE)</f>
      </c>
      <c r="E923" t="str">
        <f>DATE(YEAR(D923),MONTH(D923),DAY(D923))</f>
      </c>
      <c r="F923" t="str">
        <f>CONCATENATE(C923,E923)</f>
      </c>
      <c r="G923" t="str">
        <f>TIMEVALUE(D923)</f>
      </c>
      <c r="H923" t="str">
        <f>COUNTIF(Szamlaszamok!A:A,A923)</f>
      </c>
      <c r="I923" t="str">
        <f>SUMIFS(Szamlaszamok!E:E,Szamlaszamok!A:A,Szamlaszamok_nonduplicate!A923)</f>
      </c>
    </row>
    <row r="924" spans="1:9">
      <c r="A924" t="s">
        <v>3475</v>
      </c>
      <c r="B924" t="str">
        <f>VLOOKUP($A924,Szamlaszamok!$A923:F2479,2,FALSE)</f>
      </c>
      <c r="C924" t="str">
        <f>VLOOKUP($A924,Szamlaszamok!$A923:F2479,3,FALSE)</f>
      </c>
      <c r="D924" t="str">
        <f>VLOOKUP($A924,Szamlaszamok!$A923:F2479,4,FALSE)</f>
      </c>
      <c r="E924" t="str">
        <f>DATE(YEAR(D924),MONTH(D924),DAY(D924))</f>
      </c>
      <c r="F924" t="str">
        <f>CONCATENATE(C924,E924)</f>
      </c>
      <c r="G924" t="str">
        <f>TIMEVALUE(D924)</f>
      </c>
      <c r="H924" t="str">
        <f>COUNTIF(Szamlaszamok!A:A,A924)</f>
      </c>
      <c r="I924" t="str">
        <f>SUMIFS(Szamlaszamok!E:E,Szamlaszamok!A:A,Szamlaszamok_nonduplicate!A924)</f>
      </c>
    </row>
    <row r="925" spans="1:9">
      <c r="A925" t="s">
        <v>3479</v>
      </c>
      <c r="B925" t="str">
        <f>VLOOKUP($A925,Szamlaszamok!$A924:F2480,2,FALSE)</f>
      </c>
      <c r="C925" t="str">
        <f>VLOOKUP($A925,Szamlaszamok!$A924:F2480,3,FALSE)</f>
      </c>
      <c r="D925" t="str">
        <f>VLOOKUP($A925,Szamlaszamok!$A924:F2480,4,FALSE)</f>
      </c>
      <c r="E925" t="str">
        <f>DATE(YEAR(D925),MONTH(D925),DAY(D925))</f>
      </c>
      <c r="F925" t="str">
        <f>CONCATENATE(C925,E925)</f>
      </c>
      <c r="G925" t="str">
        <f>TIMEVALUE(D925)</f>
      </c>
      <c r="H925" t="str">
        <f>COUNTIF(Szamlaszamok!A:A,A925)</f>
      </c>
      <c r="I925" t="str">
        <f>SUMIFS(Szamlaszamok!E:E,Szamlaszamok!A:A,Szamlaszamok_nonduplicate!A925)</f>
      </c>
    </row>
    <row r="926" spans="1:9">
      <c r="A926" t="s">
        <v>3483</v>
      </c>
      <c r="B926" t="str">
        <f>VLOOKUP($A926,Szamlaszamok!$A925:F2481,2,FALSE)</f>
      </c>
      <c r="C926" t="str">
        <f>VLOOKUP($A926,Szamlaszamok!$A925:F2481,3,FALSE)</f>
      </c>
      <c r="D926" t="str">
        <f>VLOOKUP($A926,Szamlaszamok!$A925:F2481,4,FALSE)</f>
      </c>
      <c r="E926" t="str">
        <f>DATE(YEAR(D926),MONTH(D926),DAY(D926))</f>
      </c>
      <c r="F926" t="str">
        <f>CONCATENATE(C926,E926)</f>
      </c>
      <c r="G926" t="str">
        <f>TIMEVALUE(D926)</f>
      </c>
      <c r="H926" t="str">
        <f>COUNTIF(Szamlaszamok!A:A,A926)</f>
      </c>
      <c r="I926" t="str">
        <f>SUMIFS(Szamlaszamok!E:E,Szamlaszamok!A:A,Szamlaszamok_nonduplicate!A926)</f>
      </c>
    </row>
    <row r="927" spans="1:9">
      <c r="A927" t="s">
        <v>3486</v>
      </c>
      <c r="B927" t="str">
        <f>VLOOKUP($A927,Szamlaszamok!$A926:F2482,2,FALSE)</f>
      </c>
      <c r="C927" t="str">
        <f>VLOOKUP($A927,Szamlaszamok!$A926:F2482,3,FALSE)</f>
      </c>
      <c r="D927" t="str">
        <f>VLOOKUP($A927,Szamlaszamok!$A926:F2482,4,FALSE)</f>
      </c>
      <c r="E927" t="str">
        <f>DATE(YEAR(D927),MONTH(D927),DAY(D927))</f>
      </c>
      <c r="F927" t="str">
        <f>CONCATENATE(C927,E927)</f>
      </c>
      <c r="G927" t="str">
        <f>TIMEVALUE(D927)</f>
      </c>
      <c r="H927" t="str">
        <f>COUNTIF(Szamlaszamok!A:A,A927)</f>
      </c>
      <c r="I927" t="str">
        <f>SUMIFS(Szamlaszamok!E:E,Szamlaszamok!A:A,Szamlaszamok_nonduplicate!A927)</f>
      </c>
    </row>
    <row r="928" spans="1:9">
      <c r="A928" t="s">
        <v>3490</v>
      </c>
      <c r="B928" t="str">
        <f>VLOOKUP($A928,Szamlaszamok!$A927:F2483,2,FALSE)</f>
      </c>
      <c r="C928" t="str">
        <f>VLOOKUP($A928,Szamlaszamok!$A927:F2483,3,FALSE)</f>
      </c>
      <c r="D928" t="str">
        <f>VLOOKUP($A928,Szamlaszamok!$A927:F2483,4,FALSE)</f>
      </c>
      <c r="E928" t="str">
        <f>DATE(YEAR(D928),MONTH(D928),DAY(D928))</f>
      </c>
      <c r="F928" t="str">
        <f>CONCATENATE(C928,E928)</f>
      </c>
      <c r="G928" t="str">
        <f>TIMEVALUE(D928)</f>
      </c>
      <c r="H928" t="str">
        <f>COUNTIF(Szamlaszamok!A:A,A928)</f>
      </c>
      <c r="I928" t="str">
        <f>SUMIFS(Szamlaszamok!E:E,Szamlaszamok!A:A,Szamlaszamok_nonduplicate!A928)</f>
      </c>
    </row>
    <row r="929" spans="1:9">
      <c r="A929" t="s">
        <v>3493</v>
      </c>
      <c r="B929" t="str">
        <f>VLOOKUP($A929,Szamlaszamok!$A928:F2484,2,FALSE)</f>
      </c>
      <c r="C929" t="str">
        <f>VLOOKUP($A929,Szamlaszamok!$A928:F2484,3,FALSE)</f>
      </c>
      <c r="D929" t="str">
        <f>VLOOKUP($A929,Szamlaszamok!$A928:F2484,4,FALSE)</f>
      </c>
      <c r="E929" t="str">
        <f>DATE(YEAR(D929),MONTH(D929),DAY(D929))</f>
      </c>
      <c r="F929" t="str">
        <f>CONCATENATE(C929,E929)</f>
      </c>
      <c r="G929" t="str">
        <f>TIMEVALUE(D929)</f>
      </c>
      <c r="H929" t="str">
        <f>COUNTIF(Szamlaszamok!A:A,A929)</f>
      </c>
      <c r="I929" t="str">
        <f>SUMIFS(Szamlaszamok!E:E,Szamlaszamok!A:A,Szamlaszamok_nonduplicate!A929)</f>
      </c>
    </row>
    <row r="930" spans="1:9">
      <c r="A930" t="s">
        <v>3496</v>
      </c>
      <c r="B930" t="str">
        <f>VLOOKUP($A930,Szamlaszamok!$A929:F2485,2,FALSE)</f>
      </c>
      <c r="C930" t="str">
        <f>VLOOKUP($A930,Szamlaszamok!$A929:F2485,3,FALSE)</f>
      </c>
      <c r="D930" t="str">
        <f>VLOOKUP($A930,Szamlaszamok!$A929:F2485,4,FALSE)</f>
      </c>
      <c r="E930" t="str">
        <f>DATE(YEAR(D930),MONTH(D930),DAY(D930))</f>
      </c>
      <c r="F930" t="str">
        <f>CONCATENATE(C930,E930)</f>
      </c>
      <c r="G930" t="str">
        <f>TIMEVALUE(D930)</f>
      </c>
      <c r="H930" t="str">
        <f>COUNTIF(Szamlaszamok!A:A,A930)</f>
      </c>
      <c r="I930" t="str">
        <f>SUMIFS(Szamlaszamok!E:E,Szamlaszamok!A:A,Szamlaszamok_nonduplicate!A930)</f>
      </c>
    </row>
    <row r="931" spans="1:9">
      <c r="A931" t="s">
        <v>3500</v>
      </c>
      <c r="B931" t="str">
        <f>VLOOKUP($A931,Szamlaszamok!$A930:F2486,2,FALSE)</f>
      </c>
      <c r="C931" t="str">
        <f>VLOOKUP($A931,Szamlaszamok!$A930:F2486,3,FALSE)</f>
      </c>
      <c r="D931" t="str">
        <f>VLOOKUP($A931,Szamlaszamok!$A930:F2486,4,FALSE)</f>
      </c>
      <c r="E931" t="str">
        <f>DATE(YEAR(D931),MONTH(D931),DAY(D931))</f>
      </c>
      <c r="F931" t="str">
        <f>CONCATENATE(C931,E931)</f>
      </c>
      <c r="G931" t="str">
        <f>TIMEVALUE(D931)</f>
      </c>
      <c r="H931" t="str">
        <f>COUNTIF(Szamlaszamok!A:A,A931)</f>
      </c>
      <c r="I931" t="str">
        <f>SUMIFS(Szamlaszamok!E:E,Szamlaszamok!A:A,Szamlaszamok_nonduplicate!A931)</f>
      </c>
    </row>
    <row r="932" spans="1:9">
      <c r="A932" t="s">
        <v>3503</v>
      </c>
      <c r="B932" t="str">
        <f>VLOOKUP($A932,Szamlaszamok!$A931:F2487,2,FALSE)</f>
      </c>
      <c r="C932" t="str">
        <f>VLOOKUP($A932,Szamlaszamok!$A931:F2487,3,FALSE)</f>
      </c>
      <c r="D932" t="str">
        <f>VLOOKUP($A932,Szamlaszamok!$A931:F2487,4,FALSE)</f>
      </c>
      <c r="E932" t="str">
        <f>DATE(YEAR(D932),MONTH(D932),DAY(D932))</f>
      </c>
      <c r="F932" t="str">
        <f>CONCATENATE(C932,E932)</f>
      </c>
      <c r="G932" t="str">
        <f>TIMEVALUE(D932)</f>
      </c>
      <c r="H932" t="str">
        <f>COUNTIF(Szamlaszamok!A:A,A932)</f>
      </c>
      <c r="I932" t="str">
        <f>SUMIFS(Szamlaszamok!E:E,Szamlaszamok!A:A,Szamlaszamok_nonduplicate!A932)</f>
      </c>
    </row>
    <row r="933" spans="1:9">
      <c r="A933" t="s">
        <v>3507</v>
      </c>
      <c r="B933" t="str">
        <f>VLOOKUP($A933,Szamlaszamok!$A932:F2488,2,FALSE)</f>
      </c>
      <c r="C933" t="str">
        <f>VLOOKUP($A933,Szamlaszamok!$A932:F2488,3,FALSE)</f>
      </c>
      <c r="D933" t="str">
        <f>VLOOKUP($A933,Szamlaszamok!$A932:F2488,4,FALSE)</f>
      </c>
      <c r="E933" t="str">
        <f>DATE(YEAR(D933),MONTH(D933),DAY(D933))</f>
      </c>
      <c r="F933" t="str">
        <f>CONCATENATE(C933,E933)</f>
      </c>
      <c r="G933" t="str">
        <f>TIMEVALUE(D933)</f>
      </c>
      <c r="H933" t="str">
        <f>COUNTIF(Szamlaszamok!A:A,A933)</f>
      </c>
      <c r="I933" t="str">
        <f>SUMIFS(Szamlaszamok!E:E,Szamlaszamok!A:A,Szamlaszamok_nonduplicate!A933)</f>
      </c>
    </row>
    <row r="934" spans="1:9">
      <c r="A934" t="s">
        <v>3511</v>
      </c>
      <c r="B934" t="str">
        <f>VLOOKUP($A934,Szamlaszamok!$A933:F2489,2,FALSE)</f>
      </c>
      <c r="C934" t="str">
        <f>VLOOKUP($A934,Szamlaszamok!$A933:F2489,3,FALSE)</f>
      </c>
      <c r="D934" t="str">
        <f>VLOOKUP($A934,Szamlaszamok!$A933:F2489,4,FALSE)</f>
      </c>
      <c r="E934" t="str">
        <f>DATE(YEAR(D934),MONTH(D934),DAY(D934))</f>
      </c>
      <c r="F934" t="str">
        <f>CONCATENATE(C934,E934)</f>
      </c>
      <c r="G934" t="str">
        <f>TIMEVALUE(D934)</f>
      </c>
      <c r="H934" t="str">
        <f>COUNTIF(Szamlaszamok!A:A,A934)</f>
      </c>
      <c r="I934" t="str">
        <f>SUMIFS(Szamlaszamok!E:E,Szamlaszamok!A:A,Szamlaszamok_nonduplicate!A934)</f>
      </c>
    </row>
    <row r="935" spans="1:9">
      <c r="A935" t="s">
        <v>3515</v>
      </c>
      <c r="B935" t="str">
        <f>VLOOKUP($A935,Szamlaszamok!$A934:F2490,2,FALSE)</f>
      </c>
      <c r="C935" t="str">
        <f>VLOOKUP($A935,Szamlaszamok!$A934:F2490,3,FALSE)</f>
      </c>
      <c r="D935" t="str">
        <f>VLOOKUP($A935,Szamlaszamok!$A934:F2490,4,FALSE)</f>
      </c>
      <c r="E935" t="str">
        <f>DATE(YEAR(D935),MONTH(D935),DAY(D935))</f>
      </c>
      <c r="F935" t="str">
        <f>CONCATENATE(C935,E935)</f>
      </c>
      <c r="G935" t="str">
        <f>TIMEVALUE(D935)</f>
      </c>
      <c r="H935" t="str">
        <f>COUNTIF(Szamlaszamok!A:A,A935)</f>
      </c>
      <c r="I935" t="str">
        <f>SUMIFS(Szamlaszamok!E:E,Szamlaszamok!A:A,Szamlaszamok_nonduplicate!A935)</f>
      </c>
    </row>
    <row r="936" spans="1:9">
      <c r="A936" t="s">
        <v>3519</v>
      </c>
      <c r="B936" t="str">
        <f>VLOOKUP($A936,Szamlaszamok!$A935:F2491,2,FALSE)</f>
      </c>
      <c r="C936" t="str">
        <f>VLOOKUP($A936,Szamlaszamok!$A935:F2491,3,FALSE)</f>
      </c>
      <c r="D936" t="str">
        <f>VLOOKUP($A936,Szamlaszamok!$A935:F2491,4,FALSE)</f>
      </c>
      <c r="E936" t="str">
        <f>DATE(YEAR(D936),MONTH(D936),DAY(D936))</f>
      </c>
      <c r="F936" t="str">
        <f>CONCATENATE(C936,E936)</f>
      </c>
      <c r="G936" t="str">
        <f>TIMEVALUE(D936)</f>
      </c>
      <c r="H936" t="str">
        <f>COUNTIF(Szamlaszamok!A:A,A936)</f>
      </c>
      <c r="I936" t="str">
        <f>SUMIFS(Szamlaszamok!E:E,Szamlaszamok!A:A,Szamlaszamok_nonduplicate!A936)</f>
      </c>
    </row>
    <row r="937" spans="1:9">
      <c r="A937" t="s">
        <v>3522</v>
      </c>
      <c r="B937" t="str">
        <f>VLOOKUP($A937,Szamlaszamok!$A936:F2492,2,FALSE)</f>
      </c>
      <c r="C937" t="str">
        <f>VLOOKUP($A937,Szamlaszamok!$A936:F2492,3,FALSE)</f>
      </c>
      <c r="D937" t="str">
        <f>VLOOKUP($A937,Szamlaszamok!$A936:F2492,4,FALSE)</f>
      </c>
      <c r="E937" t="str">
        <f>DATE(YEAR(D937),MONTH(D937),DAY(D937))</f>
      </c>
      <c r="F937" t="str">
        <f>CONCATENATE(C937,E937)</f>
      </c>
      <c r="G937" t="str">
        <f>TIMEVALUE(D937)</f>
      </c>
      <c r="H937" t="str">
        <f>COUNTIF(Szamlaszamok!A:A,A937)</f>
      </c>
      <c r="I937" t="str">
        <f>SUMIFS(Szamlaszamok!E:E,Szamlaszamok!A:A,Szamlaszamok_nonduplicate!A937)</f>
      </c>
    </row>
    <row r="938" spans="1:9">
      <c r="A938" t="s">
        <v>3525</v>
      </c>
      <c r="B938" t="str">
        <f>VLOOKUP($A938,Szamlaszamok!$A937:F2493,2,FALSE)</f>
      </c>
      <c r="C938" t="str">
        <f>VLOOKUP($A938,Szamlaszamok!$A937:F2493,3,FALSE)</f>
      </c>
      <c r="D938" t="str">
        <f>VLOOKUP($A938,Szamlaszamok!$A937:F2493,4,FALSE)</f>
      </c>
      <c r="E938" t="str">
        <f>DATE(YEAR(D938),MONTH(D938),DAY(D938))</f>
      </c>
      <c r="F938" t="str">
        <f>CONCATENATE(C938,E938)</f>
      </c>
      <c r="G938" t="str">
        <f>TIMEVALUE(D938)</f>
      </c>
      <c r="H938" t="str">
        <f>COUNTIF(Szamlaszamok!A:A,A938)</f>
      </c>
      <c r="I938" t="str">
        <f>SUMIFS(Szamlaszamok!E:E,Szamlaszamok!A:A,Szamlaszamok_nonduplicate!A938)</f>
      </c>
    </row>
    <row r="939" spans="1:9">
      <c r="A939" t="s">
        <v>3529</v>
      </c>
      <c r="B939" t="str">
        <f>VLOOKUP($A939,Szamlaszamok!$A938:F2494,2,FALSE)</f>
      </c>
      <c r="C939" t="str">
        <f>VLOOKUP($A939,Szamlaszamok!$A938:F2494,3,FALSE)</f>
      </c>
      <c r="D939" t="str">
        <f>VLOOKUP($A939,Szamlaszamok!$A938:F2494,4,FALSE)</f>
      </c>
      <c r="E939" t="str">
        <f>DATE(YEAR(D939),MONTH(D939),DAY(D939))</f>
      </c>
      <c r="F939" t="str">
        <f>CONCATENATE(C939,E939)</f>
      </c>
      <c r="G939" t="str">
        <f>TIMEVALUE(D939)</f>
      </c>
      <c r="H939" t="str">
        <f>COUNTIF(Szamlaszamok!A:A,A939)</f>
      </c>
      <c r="I939" t="str">
        <f>SUMIFS(Szamlaszamok!E:E,Szamlaszamok!A:A,Szamlaszamok_nonduplicate!A939)</f>
      </c>
    </row>
    <row r="940" spans="1:9">
      <c r="A940" t="s">
        <v>3533</v>
      </c>
      <c r="B940" t="str">
        <f>VLOOKUP($A940,Szamlaszamok!$A939:F2495,2,FALSE)</f>
      </c>
      <c r="C940" t="str">
        <f>VLOOKUP($A940,Szamlaszamok!$A939:F2495,3,FALSE)</f>
      </c>
      <c r="D940" t="str">
        <f>VLOOKUP($A940,Szamlaszamok!$A939:F2495,4,FALSE)</f>
      </c>
      <c r="E940" t="str">
        <f>DATE(YEAR(D940),MONTH(D940),DAY(D940))</f>
      </c>
      <c r="F940" t="str">
        <f>CONCATENATE(C940,E940)</f>
      </c>
      <c r="G940" t="str">
        <f>TIMEVALUE(D940)</f>
      </c>
      <c r="H940" t="str">
        <f>COUNTIF(Szamlaszamok!A:A,A940)</f>
      </c>
      <c r="I940" t="str">
        <f>SUMIFS(Szamlaszamok!E:E,Szamlaszamok!A:A,Szamlaszamok_nonduplicate!A940)</f>
      </c>
    </row>
    <row r="941" spans="1:9">
      <c r="A941" t="s">
        <v>3537</v>
      </c>
      <c r="B941" t="str">
        <f>VLOOKUP($A941,Szamlaszamok!$A940:F2496,2,FALSE)</f>
      </c>
      <c r="C941" t="str">
        <f>VLOOKUP($A941,Szamlaszamok!$A940:F2496,3,FALSE)</f>
      </c>
      <c r="D941" t="str">
        <f>VLOOKUP($A941,Szamlaszamok!$A940:F2496,4,FALSE)</f>
      </c>
      <c r="E941" t="str">
        <f>DATE(YEAR(D941),MONTH(D941),DAY(D941))</f>
      </c>
      <c r="F941" t="str">
        <f>CONCATENATE(C941,E941)</f>
      </c>
      <c r="G941" t="str">
        <f>TIMEVALUE(D941)</f>
      </c>
      <c r="H941" t="str">
        <f>COUNTIF(Szamlaszamok!A:A,A941)</f>
      </c>
      <c r="I941" t="str">
        <f>SUMIFS(Szamlaszamok!E:E,Szamlaszamok!A:A,Szamlaszamok_nonduplicate!A941)</f>
      </c>
    </row>
    <row r="942" spans="1:9">
      <c r="A942" t="s">
        <v>3541</v>
      </c>
      <c r="B942" t="str">
        <f>VLOOKUP($A942,Szamlaszamok!$A941:F2497,2,FALSE)</f>
      </c>
      <c r="C942" t="str">
        <f>VLOOKUP($A942,Szamlaszamok!$A941:F2497,3,FALSE)</f>
      </c>
      <c r="D942" t="str">
        <f>VLOOKUP($A942,Szamlaszamok!$A941:F2497,4,FALSE)</f>
      </c>
      <c r="E942" t="str">
        <f>DATE(YEAR(D942),MONTH(D942),DAY(D942))</f>
      </c>
      <c r="F942" t="str">
        <f>CONCATENATE(C942,E942)</f>
      </c>
      <c r="G942" t="str">
        <f>TIMEVALUE(D942)</f>
      </c>
      <c r="H942" t="str">
        <f>COUNTIF(Szamlaszamok!A:A,A942)</f>
      </c>
      <c r="I942" t="str">
        <f>SUMIFS(Szamlaszamok!E:E,Szamlaszamok!A:A,Szamlaszamok_nonduplicate!A942)</f>
      </c>
    </row>
    <row r="943" spans="1:9">
      <c r="A943" t="s">
        <v>3545</v>
      </c>
      <c r="B943" t="str">
        <f>VLOOKUP($A943,Szamlaszamok!$A942:F2498,2,FALSE)</f>
      </c>
      <c r="C943" t="str">
        <f>VLOOKUP($A943,Szamlaszamok!$A942:F2498,3,FALSE)</f>
      </c>
      <c r="D943" t="str">
        <f>VLOOKUP($A943,Szamlaszamok!$A942:F2498,4,FALSE)</f>
      </c>
      <c r="E943" t="str">
        <f>DATE(YEAR(D943),MONTH(D943),DAY(D943))</f>
      </c>
      <c r="F943" t="str">
        <f>CONCATENATE(C943,E943)</f>
      </c>
      <c r="G943" t="str">
        <f>TIMEVALUE(D943)</f>
      </c>
      <c r="H943" t="str">
        <f>COUNTIF(Szamlaszamok!A:A,A943)</f>
      </c>
      <c r="I943" t="str">
        <f>SUMIFS(Szamlaszamok!E:E,Szamlaszamok!A:A,Szamlaszamok_nonduplicate!A943)</f>
      </c>
    </row>
    <row r="944" spans="1:9">
      <c r="A944" t="s">
        <v>3548</v>
      </c>
      <c r="B944" t="str">
        <f>VLOOKUP($A944,Szamlaszamok!$A943:F2499,2,FALSE)</f>
      </c>
      <c r="C944" t="str">
        <f>VLOOKUP($A944,Szamlaszamok!$A943:F2499,3,FALSE)</f>
      </c>
      <c r="D944" t="str">
        <f>VLOOKUP($A944,Szamlaszamok!$A943:F2499,4,FALSE)</f>
      </c>
      <c r="E944" t="str">
        <f>DATE(YEAR(D944),MONTH(D944),DAY(D944))</f>
      </c>
      <c r="F944" t="str">
        <f>CONCATENATE(C944,E944)</f>
      </c>
      <c r="G944" t="str">
        <f>TIMEVALUE(D944)</f>
      </c>
      <c r="H944" t="str">
        <f>COUNTIF(Szamlaszamok!A:A,A944)</f>
      </c>
      <c r="I944" t="str">
        <f>SUMIFS(Szamlaszamok!E:E,Szamlaszamok!A:A,Szamlaszamok_nonduplicate!A944)</f>
      </c>
    </row>
    <row r="945" spans="1:9">
      <c r="A945" t="s">
        <v>3552</v>
      </c>
      <c r="B945" t="str">
        <f>VLOOKUP($A945,Szamlaszamok!$A944:F2500,2,FALSE)</f>
      </c>
      <c r="C945" t="str">
        <f>VLOOKUP($A945,Szamlaszamok!$A944:F2500,3,FALSE)</f>
      </c>
      <c r="D945" t="str">
        <f>VLOOKUP($A945,Szamlaszamok!$A944:F2500,4,FALSE)</f>
      </c>
      <c r="E945" t="str">
        <f>DATE(YEAR(D945),MONTH(D945),DAY(D945))</f>
      </c>
      <c r="F945" t="str">
        <f>CONCATENATE(C945,E945)</f>
      </c>
      <c r="G945" t="str">
        <f>TIMEVALUE(D945)</f>
      </c>
      <c r="H945" t="str">
        <f>COUNTIF(Szamlaszamok!A:A,A945)</f>
      </c>
      <c r="I945" t="str">
        <f>SUMIFS(Szamlaszamok!E:E,Szamlaszamok!A:A,Szamlaszamok_nonduplicate!A945)</f>
      </c>
    </row>
    <row r="946" spans="1:9">
      <c r="A946" t="s">
        <v>3555</v>
      </c>
      <c r="B946" t="str">
        <f>VLOOKUP($A946,Szamlaszamok!$A945:F2501,2,FALSE)</f>
      </c>
      <c r="C946" t="str">
        <f>VLOOKUP($A946,Szamlaszamok!$A945:F2501,3,FALSE)</f>
      </c>
      <c r="D946" t="str">
        <f>VLOOKUP($A946,Szamlaszamok!$A945:F2501,4,FALSE)</f>
      </c>
      <c r="E946" t="str">
        <f>DATE(YEAR(D946),MONTH(D946),DAY(D946))</f>
      </c>
      <c r="F946" t="str">
        <f>CONCATENATE(C946,E946)</f>
      </c>
      <c r="G946" t="str">
        <f>TIMEVALUE(D946)</f>
      </c>
      <c r="H946" t="str">
        <f>COUNTIF(Szamlaszamok!A:A,A946)</f>
      </c>
      <c r="I946" t="str">
        <f>SUMIFS(Szamlaszamok!E:E,Szamlaszamok!A:A,Szamlaszamok_nonduplicate!A946)</f>
      </c>
    </row>
    <row r="947" spans="1:9">
      <c r="A947" t="s">
        <v>3559</v>
      </c>
      <c r="B947" t="str">
        <f>VLOOKUP($A947,Szamlaszamok!$A946:F2502,2,FALSE)</f>
      </c>
      <c r="C947" t="str">
        <f>VLOOKUP($A947,Szamlaszamok!$A946:F2502,3,FALSE)</f>
      </c>
      <c r="D947" t="str">
        <f>VLOOKUP($A947,Szamlaszamok!$A946:F2502,4,FALSE)</f>
      </c>
      <c r="E947" t="str">
        <f>DATE(YEAR(D947),MONTH(D947),DAY(D947))</f>
      </c>
      <c r="F947" t="str">
        <f>CONCATENATE(C947,E947)</f>
      </c>
      <c r="G947" t="str">
        <f>TIMEVALUE(D947)</f>
      </c>
      <c r="H947" t="str">
        <f>COUNTIF(Szamlaszamok!A:A,A947)</f>
      </c>
      <c r="I947" t="str">
        <f>SUMIFS(Szamlaszamok!E:E,Szamlaszamok!A:A,Szamlaszamok_nonduplicate!A947)</f>
      </c>
    </row>
    <row r="948" spans="1:9">
      <c r="A948" t="s">
        <v>3562</v>
      </c>
      <c r="B948" t="str">
        <f>VLOOKUP($A948,Szamlaszamok!$A947:F2503,2,FALSE)</f>
      </c>
      <c r="C948" t="str">
        <f>VLOOKUP($A948,Szamlaszamok!$A947:F2503,3,FALSE)</f>
      </c>
      <c r="D948" t="str">
        <f>VLOOKUP($A948,Szamlaszamok!$A947:F2503,4,FALSE)</f>
      </c>
      <c r="E948" t="str">
        <f>DATE(YEAR(D948),MONTH(D948),DAY(D948))</f>
      </c>
      <c r="F948" t="str">
        <f>CONCATENATE(C948,E948)</f>
      </c>
      <c r="G948" t="str">
        <f>TIMEVALUE(D948)</f>
      </c>
      <c r="H948" t="str">
        <f>COUNTIF(Szamlaszamok!A:A,A948)</f>
      </c>
      <c r="I948" t="str">
        <f>SUMIFS(Szamlaszamok!E:E,Szamlaszamok!A:A,Szamlaszamok_nonduplicate!A948)</f>
      </c>
    </row>
    <row r="949" spans="1:9">
      <c r="A949" t="s">
        <v>3565</v>
      </c>
      <c r="B949" t="str">
        <f>VLOOKUP($A949,Szamlaszamok!$A948:F2504,2,FALSE)</f>
      </c>
      <c r="C949" t="str">
        <f>VLOOKUP($A949,Szamlaszamok!$A948:F2504,3,FALSE)</f>
      </c>
      <c r="D949" t="str">
        <f>VLOOKUP($A949,Szamlaszamok!$A948:F2504,4,FALSE)</f>
      </c>
      <c r="E949" t="str">
        <f>DATE(YEAR(D949),MONTH(D949),DAY(D949))</f>
      </c>
      <c r="F949" t="str">
        <f>CONCATENATE(C949,E949)</f>
      </c>
      <c r="G949" t="str">
        <f>TIMEVALUE(D949)</f>
      </c>
      <c r="H949" t="str">
        <f>COUNTIF(Szamlaszamok!A:A,A949)</f>
      </c>
      <c r="I949" t="str">
        <f>SUMIFS(Szamlaszamok!E:E,Szamlaszamok!A:A,Szamlaszamok_nonduplicate!A949)</f>
      </c>
    </row>
    <row r="950" spans="1:9">
      <c r="A950" t="s">
        <v>3569</v>
      </c>
      <c r="B950" t="str">
        <f>VLOOKUP($A950,Szamlaszamok!$A949:F2505,2,FALSE)</f>
      </c>
      <c r="C950" t="str">
        <f>VLOOKUP($A950,Szamlaszamok!$A949:F2505,3,FALSE)</f>
      </c>
      <c r="D950" t="str">
        <f>VLOOKUP($A950,Szamlaszamok!$A949:F2505,4,FALSE)</f>
      </c>
      <c r="E950" t="str">
        <f>DATE(YEAR(D950),MONTH(D950),DAY(D950))</f>
      </c>
      <c r="F950" t="str">
        <f>CONCATENATE(C950,E950)</f>
      </c>
      <c r="G950" t="str">
        <f>TIMEVALUE(D950)</f>
      </c>
      <c r="H950" t="str">
        <f>COUNTIF(Szamlaszamok!A:A,A950)</f>
      </c>
      <c r="I950" t="str">
        <f>SUMIFS(Szamlaszamok!E:E,Szamlaszamok!A:A,Szamlaszamok_nonduplicate!A950)</f>
      </c>
    </row>
    <row r="951" spans="1:9">
      <c r="A951" t="s">
        <v>3573</v>
      </c>
      <c r="B951" t="str">
        <f>VLOOKUP($A951,Szamlaszamok!$A950:F2506,2,FALSE)</f>
      </c>
      <c r="C951" t="str">
        <f>VLOOKUP($A951,Szamlaszamok!$A950:F2506,3,FALSE)</f>
      </c>
      <c r="D951" t="str">
        <f>VLOOKUP($A951,Szamlaszamok!$A950:F2506,4,FALSE)</f>
      </c>
      <c r="E951" t="str">
        <f>DATE(YEAR(D951),MONTH(D951),DAY(D951))</f>
      </c>
      <c r="F951" t="str">
        <f>CONCATENATE(C951,E951)</f>
      </c>
      <c r="G951" t="str">
        <f>TIMEVALUE(D951)</f>
      </c>
      <c r="H951" t="str">
        <f>COUNTIF(Szamlaszamok!A:A,A951)</f>
      </c>
      <c r="I951" t="str">
        <f>SUMIFS(Szamlaszamok!E:E,Szamlaszamok!A:A,Szamlaszamok_nonduplicate!A951)</f>
      </c>
    </row>
    <row r="952" spans="1:9">
      <c r="A952" t="s">
        <v>3577</v>
      </c>
      <c r="B952" t="str">
        <f>VLOOKUP($A952,Szamlaszamok!$A951:F2507,2,FALSE)</f>
      </c>
      <c r="C952" t="str">
        <f>VLOOKUP($A952,Szamlaszamok!$A951:F2507,3,FALSE)</f>
      </c>
      <c r="D952" t="str">
        <f>VLOOKUP($A952,Szamlaszamok!$A951:F2507,4,FALSE)</f>
      </c>
      <c r="E952" t="str">
        <f>DATE(YEAR(D952),MONTH(D952),DAY(D952))</f>
      </c>
      <c r="F952" t="str">
        <f>CONCATENATE(C952,E952)</f>
      </c>
      <c r="G952" t="str">
        <f>TIMEVALUE(D952)</f>
      </c>
      <c r="H952" t="str">
        <f>COUNTIF(Szamlaszamok!A:A,A952)</f>
      </c>
      <c r="I952" t="str">
        <f>SUMIFS(Szamlaszamok!E:E,Szamlaszamok!A:A,Szamlaszamok_nonduplicate!A952)</f>
      </c>
    </row>
    <row r="953" spans="1:9">
      <c r="A953" t="s">
        <v>3581</v>
      </c>
      <c r="B953" t="str">
        <f>VLOOKUP($A953,Szamlaszamok!$A952:F2508,2,FALSE)</f>
      </c>
      <c r="C953" t="str">
        <f>VLOOKUP($A953,Szamlaszamok!$A952:F2508,3,FALSE)</f>
      </c>
      <c r="D953" t="str">
        <f>VLOOKUP($A953,Szamlaszamok!$A952:F2508,4,FALSE)</f>
      </c>
      <c r="E953" t="str">
        <f>DATE(YEAR(D953),MONTH(D953),DAY(D953))</f>
      </c>
      <c r="F953" t="str">
        <f>CONCATENATE(C953,E953)</f>
      </c>
      <c r="G953" t="str">
        <f>TIMEVALUE(D953)</f>
      </c>
      <c r="H953" t="str">
        <f>COUNTIF(Szamlaszamok!A:A,A953)</f>
      </c>
      <c r="I953" t="str">
        <f>SUMIFS(Szamlaszamok!E:E,Szamlaszamok!A:A,Szamlaszamok_nonduplicate!A953)</f>
      </c>
    </row>
    <row r="954" spans="1:9">
      <c r="A954" t="s">
        <v>3584</v>
      </c>
      <c r="B954" t="str">
        <f>VLOOKUP($A954,Szamlaszamok!$A953:F2509,2,FALSE)</f>
      </c>
      <c r="C954" t="str">
        <f>VLOOKUP($A954,Szamlaszamok!$A953:F2509,3,FALSE)</f>
      </c>
      <c r="D954" t="str">
        <f>VLOOKUP($A954,Szamlaszamok!$A953:F2509,4,FALSE)</f>
      </c>
      <c r="E954" t="str">
        <f>DATE(YEAR(D954),MONTH(D954),DAY(D954))</f>
      </c>
      <c r="F954" t="str">
        <f>CONCATENATE(C954,E954)</f>
      </c>
      <c r="G954" t="str">
        <f>TIMEVALUE(D954)</f>
      </c>
      <c r="H954" t="str">
        <f>COUNTIF(Szamlaszamok!A:A,A954)</f>
      </c>
      <c r="I954" t="str">
        <f>SUMIFS(Szamlaszamok!E:E,Szamlaszamok!A:A,Szamlaszamok_nonduplicate!A954)</f>
      </c>
    </row>
    <row r="955" spans="1:9">
      <c r="A955" t="s">
        <v>3588</v>
      </c>
      <c r="B955" t="str">
        <f>VLOOKUP($A955,Szamlaszamok!$A954:F2510,2,FALSE)</f>
      </c>
      <c r="C955" t="str">
        <f>VLOOKUP($A955,Szamlaszamok!$A954:F2510,3,FALSE)</f>
      </c>
      <c r="D955" t="str">
        <f>VLOOKUP($A955,Szamlaszamok!$A954:F2510,4,FALSE)</f>
      </c>
      <c r="E955" t="str">
        <f>DATE(YEAR(D955),MONTH(D955),DAY(D955))</f>
      </c>
      <c r="F955" t="str">
        <f>CONCATENATE(C955,E955)</f>
      </c>
      <c r="G955" t="str">
        <f>TIMEVALUE(D955)</f>
      </c>
      <c r="H955" t="str">
        <f>COUNTIF(Szamlaszamok!A:A,A955)</f>
      </c>
      <c r="I955" t="str">
        <f>SUMIFS(Szamlaszamok!E:E,Szamlaszamok!A:A,Szamlaszamok_nonduplicate!A955)</f>
      </c>
    </row>
    <row r="956" spans="1:9">
      <c r="A956" t="s">
        <v>3592</v>
      </c>
      <c r="B956" t="str">
        <f>VLOOKUP($A956,Szamlaszamok!$A955:F2511,2,FALSE)</f>
      </c>
      <c r="C956" t="str">
        <f>VLOOKUP($A956,Szamlaszamok!$A955:F2511,3,FALSE)</f>
      </c>
      <c r="D956" t="str">
        <f>VLOOKUP($A956,Szamlaszamok!$A955:F2511,4,FALSE)</f>
      </c>
      <c r="E956" t="str">
        <f>DATE(YEAR(D956),MONTH(D956),DAY(D956))</f>
      </c>
      <c r="F956" t="str">
        <f>CONCATENATE(C956,E956)</f>
      </c>
      <c r="G956" t="str">
        <f>TIMEVALUE(D956)</f>
      </c>
      <c r="H956" t="str">
        <f>COUNTIF(Szamlaszamok!A:A,A956)</f>
      </c>
      <c r="I956" t="str">
        <f>SUMIFS(Szamlaszamok!E:E,Szamlaszamok!A:A,Szamlaszamok_nonduplicate!A956)</f>
      </c>
    </row>
    <row r="957" spans="1:9">
      <c r="A957" t="s">
        <v>3594</v>
      </c>
      <c r="B957" t="str">
        <f>VLOOKUP($A957,Szamlaszamok!$A956:F2512,2,FALSE)</f>
      </c>
      <c r="C957" t="str">
        <f>VLOOKUP($A957,Szamlaszamok!$A956:F2512,3,FALSE)</f>
      </c>
      <c r="D957" t="str">
        <f>VLOOKUP($A957,Szamlaszamok!$A956:F2512,4,FALSE)</f>
      </c>
      <c r="E957" t="str">
        <f>DATE(YEAR(D957),MONTH(D957),DAY(D957))</f>
      </c>
      <c r="F957" t="str">
        <f>CONCATENATE(C957,E957)</f>
      </c>
      <c r="G957" t="str">
        <f>TIMEVALUE(D957)</f>
      </c>
      <c r="H957" t="str">
        <f>COUNTIF(Szamlaszamok!A:A,A957)</f>
      </c>
      <c r="I957" t="str">
        <f>SUMIFS(Szamlaszamok!E:E,Szamlaszamok!A:A,Szamlaszamok_nonduplicate!A957)</f>
      </c>
    </row>
    <row r="958" spans="1:9">
      <c r="A958" t="s">
        <v>3597</v>
      </c>
      <c r="B958" t="str">
        <f>VLOOKUP($A958,Szamlaszamok!$A957:F2513,2,FALSE)</f>
      </c>
      <c r="C958" t="str">
        <f>VLOOKUP($A958,Szamlaszamok!$A957:F2513,3,FALSE)</f>
      </c>
      <c r="D958" t="str">
        <f>VLOOKUP($A958,Szamlaszamok!$A957:F2513,4,FALSE)</f>
      </c>
      <c r="E958" t="str">
        <f>DATE(YEAR(D958),MONTH(D958),DAY(D958))</f>
      </c>
      <c r="F958" t="str">
        <f>CONCATENATE(C958,E958)</f>
      </c>
      <c r="G958" t="str">
        <f>TIMEVALUE(D958)</f>
      </c>
      <c r="H958" t="str">
        <f>COUNTIF(Szamlaszamok!A:A,A958)</f>
      </c>
      <c r="I958" t="str">
        <f>SUMIFS(Szamlaszamok!E:E,Szamlaszamok!A:A,Szamlaszamok_nonduplicate!A958)</f>
      </c>
    </row>
    <row r="959" spans="1:9">
      <c r="A959" t="s">
        <v>3601</v>
      </c>
      <c r="B959" t="str">
        <f>VLOOKUP($A959,Szamlaszamok!$A958:F2514,2,FALSE)</f>
      </c>
      <c r="C959" t="str">
        <f>VLOOKUP($A959,Szamlaszamok!$A958:F2514,3,FALSE)</f>
      </c>
      <c r="D959" t="str">
        <f>VLOOKUP($A959,Szamlaszamok!$A958:F2514,4,FALSE)</f>
      </c>
      <c r="E959" t="str">
        <f>DATE(YEAR(D959),MONTH(D959),DAY(D959))</f>
      </c>
      <c r="F959" t="str">
        <f>CONCATENATE(C959,E959)</f>
      </c>
      <c r="G959" t="str">
        <f>TIMEVALUE(D959)</f>
      </c>
      <c r="H959" t="str">
        <f>COUNTIF(Szamlaszamok!A:A,A959)</f>
      </c>
      <c r="I959" t="str">
        <f>SUMIFS(Szamlaszamok!E:E,Szamlaszamok!A:A,Szamlaszamok_nonduplicate!A959)</f>
      </c>
    </row>
    <row r="960" spans="1:9">
      <c r="A960" t="s">
        <v>3605</v>
      </c>
      <c r="B960" t="str">
        <f>VLOOKUP($A960,Szamlaszamok!$A959:F2515,2,FALSE)</f>
      </c>
      <c r="C960" t="str">
        <f>VLOOKUP($A960,Szamlaszamok!$A959:F2515,3,FALSE)</f>
      </c>
      <c r="D960" t="str">
        <f>VLOOKUP($A960,Szamlaszamok!$A959:F2515,4,FALSE)</f>
      </c>
      <c r="E960" t="str">
        <f>DATE(YEAR(D960),MONTH(D960),DAY(D960))</f>
      </c>
      <c r="F960" t="str">
        <f>CONCATENATE(C960,E960)</f>
      </c>
      <c r="G960" t="str">
        <f>TIMEVALUE(D960)</f>
      </c>
      <c r="H960" t="str">
        <f>COUNTIF(Szamlaszamok!A:A,A960)</f>
      </c>
      <c r="I960" t="str">
        <f>SUMIFS(Szamlaszamok!E:E,Szamlaszamok!A:A,Szamlaszamok_nonduplicate!A960)</f>
      </c>
    </row>
    <row r="961" spans="1:9">
      <c r="A961" t="s">
        <v>3609</v>
      </c>
      <c r="B961" t="str">
        <f>VLOOKUP($A961,Szamlaszamok!$A960:F2516,2,FALSE)</f>
      </c>
      <c r="C961" t="str">
        <f>VLOOKUP($A961,Szamlaszamok!$A960:F2516,3,FALSE)</f>
      </c>
      <c r="D961" t="str">
        <f>VLOOKUP($A961,Szamlaszamok!$A960:F2516,4,FALSE)</f>
      </c>
      <c r="E961" t="str">
        <f>DATE(YEAR(D961),MONTH(D961),DAY(D961))</f>
      </c>
      <c r="F961" t="str">
        <f>CONCATENATE(C961,E961)</f>
      </c>
      <c r="G961" t="str">
        <f>TIMEVALUE(D961)</f>
      </c>
      <c r="H961" t="str">
        <f>COUNTIF(Szamlaszamok!A:A,A961)</f>
      </c>
      <c r="I961" t="str">
        <f>SUMIFS(Szamlaszamok!E:E,Szamlaszamok!A:A,Szamlaszamok_nonduplicate!A961)</f>
      </c>
    </row>
    <row r="962" spans="1:9">
      <c r="A962" t="s">
        <v>3613</v>
      </c>
      <c r="B962" t="str">
        <f>VLOOKUP($A962,Szamlaszamok!$A961:F2517,2,FALSE)</f>
      </c>
      <c r="C962" t="str">
        <f>VLOOKUP($A962,Szamlaszamok!$A961:F2517,3,FALSE)</f>
      </c>
      <c r="D962" t="str">
        <f>VLOOKUP($A962,Szamlaszamok!$A961:F2517,4,FALSE)</f>
      </c>
      <c r="E962" t="str">
        <f>DATE(YEAR(D962),MONTH(D962),DAY(D962))</f>
      </c>
      <c r="F962" t="str">
        <f>CONCATENATE(C962,E962)</f>
      </c>
      <c r="G962" t="str">
        <f>TIMEVALUE(D962)</f>
      </c>
      <c r="H962" t="str">
        <f>COUNTIF(Szamlaszamok!A:A,A962)</f>
      </c>
      <c r="I962" t="str">
        <f>SUMIFS(Szamlaszamok!E:E,Szamlaszamok!A:A,Szamlaszamok_nonduplicate!A962)</f>
      </c>
    </row>
    <row r="963" spans="1:9">
      <c r="A963" t="s">
        <v>3617</v>
      </c>
      <c r="B963" t="str">
        <f>VLOOKUP($A963,Szamlaszamok!$A962:F2518,2,FALSE)</f>
      </c>
      <c r="C963" t="str">
        <f>VLOOKUP($A963,Szamlaszamok!$A962:F2518,3,FALSE)</f>
      </c>
      <c r="D963" t="str">
        <f>VLOOKUP($A963,Szamlaszamok!$A962:F2518,4,FALSE)</f>
      </c>
      <c r="E963" t="str">
        <f>DATE(YEAR(D963),MONTH(D963),DAY(D963))</f>
      </c>
      <c r="F963" t="str">
        <f>CONCATENATE(C963,E963)</f>
      </c>
      <c r="G963" t="str">
        <f>TIMEVALUE(D963)</f>
      </c>
      <c r="H963" t="str">
        <f>COUNTIF(Szamlaszamok!A:A,A963)</f>
      </c>
      <c r="I963" t="str">
        <f>SUMIFS(Szamlaszamok!E:E,Szamlaszamok!A:A,Szamlaszamok_nonduplicate!A963)</f>
      </c>
    </row>
    <row r="964" spans="1:9">
      <c r="A964" t="s">
        <v>3621</v>
      </c>
      <c r="B964" t="str">
        <f>VLOOKUP($A964,Szamlaszamok!$A963:F2519,2,FALSE)</f>
      </c>
      <c r="C964" t="str">
        <f>VLOOKUP($A964,Szamlaszamok!$A963:F2519,3,FALSE)</f>
      </c>
      <c r="D964" t="str">
        <f>VLOOKUP($A964,Szamlaszamok!$A963:F2519,4,FALSE)</f>
      </c>
      <c r="E964" t="str">
        <f>DATE(YEAR(D964),MONTH(D964),DAY(D964))</f>
      </c>
      <c r="F964" t="str">
        <f>CONCATENATE(C964,E964)</f>
      </c>
      <c r="G964" t="str">
        <f>TIMEVALUE(D964)</f>
      </c>
      <c r="H964" t="str">
        <f>COUNTIF(Szamlaszamok!A:A,A964)</f>
      </c>
      <c r="I964" t="str">
        <f>SUMIFS(Szamlaszamok!E:E,Szamlaszamok!A:A,Szamlaszamok_nonduplicate!A964)</f>
      </c>
    </row>
    <row r="965" spans="1:9">
      <c r="A965" t="s">
        <v>3625</v>
      </c>
      <c r="B965" t="str">
        <f>VLOOKUP($A965,Szamlaszamok!$A964:F2520,2,FALSE)</f>
      </c>
      <c r="C965" t="str">
        <f>VLOOKUP($A965,Szamlaszamok!$A964:F2520,3,FALSE)</f>
      </c>
      <c r="D965" t="str">
        <f>VLOOKUP($A965,Szamlaszamok!$A964:F2520,4,FALSE)</f>
      </c>
      <c r="E965" t="str">
        <f>DATE(YEAR(D965),MONTH(D965),DAY(D965))</f>
      </c>
      <c r="F965" t="str">
        <f>CONCATENATE(C965,E965)</f>
      </c>
      <c r="G965" t="str">
        <f>TIMEVALUE(D965)</f>
      </c>
      <c r="H965" t="str">
        <f>COUNTIF(Szamlaszamok!A:A,A965)</f>
      </c>
      <c r="I965" t="str">
        <f>SUMIFS(Szamlaszamok!E:E,Szamlaszamok!A:A,Szamlaszamok_nonduplicate!A965)</f>
      </c>
    </row>
    <row r="966" spans="1:9">
      <c r="A966" t="s">
        <v>3629</v>
      </c>
      <c r="B966" t="str">
        <f>VLOOKUP($A966,Szamlaszamok!$A965:F2521,2,FALSE)</f>
      </c>
      <c r="C966" t="str">
        <f>VLOOKUP($A966,Szamlaszamok!$A965:F2521,3,FALSE)</f>
      </c>
      <c r="D966" t="str">
        <f>VLOOKUP($A966,Szamlaszamok!$A965:F2521,4,FALSE)</f>
      </c>
      <c r="E966" t="str">
        <f>DATE(YEAR(D966),MONTH(D966),DAY(D966))</f>
      </c>
      <c r="F966" t="str">
        <f>CONCATENATE(C966,E966)</f>
      </c>
      <c r="G966" t="str">
        <f>TIMEVALUE(D966)</f>
      </c>
      <c r="H966" t="str">
        <f>COUNTIF(Szamlaszamok!A:A,A966)</f>
      </c>
      <c r="I966" t="str">
        <f>SUMIFS(Szamlaszamok!E:E,Szamlaszamok!A:A,Szamlaszamok_nonduplicate!A966)</f>
      </c>
    </row>
    <row r="967" spans="1:9">
      <c r="A967" t="s">
        <v>3633</v>
      </c>
      <c r="B967" t="str">
        <f>VLOOKUP($A967,Szamlaszamok!$A966:F2522,2,FALSE)</f>
      </c>
      <c r="C967" t="str">
        <f>VLOOKUP($A967,Szamlaszamok!$A966:F2522,3,FALSE)</f>
      </c>
      <c r="D967" t="str">
        <f>VLOOKUP($A967,Szamlaszamok!$A966:F2522,4,FALSE)</f>
      </c>
      <c r="E967" t="str">
        <f>DATE(YEAR(D967),MONTH(D967),DAY(D967))</f>
      </c>
      <c r="F967" t="str">
        <f>CONCATENATE(C967,E967)</f>
      </c>
      <c r="G967" t="str">
        <f>TIMEVALUE(D967)</f>
      </c>
      <c r="H967" t="str">
        <f>COUNTIF(Szamlaszamok!A:A,A967)</f>
      </c>
      <c r="I967" t="str">
        <f>SUMIFS(Szamlaszamok!E:E,Szamlaszamok!A:A,Szamlaszamok_nonduplicate!A967)</f>
      </c>
    </row>
    <row r="968" spans="1:9">
      <c r="A968" t="s">
        <v>3637</v>
      </c>
      <c r="B968" t="str">
        <f>VLOOKUP($A968,Szamlaszamok!$A967:F2523,2,FALSE)</f>
      </c>
      <c r="C968" t="str">
        <f>VLOOKUP($A968,Szamlaszamok!$A967:F2523,3,FALSE)</f>
      </c>
      <c r="D968" t="str">
        <f>VLOOKUP($A968,Szamlaszamok!$A967:F2523,4,FALSE)</f>
      </c>
      <c r="E968" t="str">
        <f>DATE(YEAR(D968),MONTH(D968),DAY(D968))</f>
      </c>
      <c r="F968" t="str">
        <f>CONCATENATE(C968,E968)</f>
      </c>
      <c r="G968" t="str">
        <f>TIMEVALUE(D968)</f>
      </c>
      <c r="H968" t="str">
        <f>COUNTIF(Szamlaszamok!A:A,A968)</f>
      </c>
      <c r="I968" t="str">
        <f>SUMIFS(Szamlaszamok!E:E,Szamlaszamok!A:A,Szamlaszamok_nonduplicate!A968)</f>
      </c>
    </row>
    <row r="969" spans="1:9">
      <c r="A969" t="s">
        <v>3641</v>
      </c>
      <c r="B969" t="str">
        <f>VLOOKUP($A969,Szamlaszamok!$A968:F2524,2,FALSE)</f>
      </c>
      <c r="C969" t="str">
        <f>VLOOKUP($A969,Szamlaszamok!$A968:F2524,3,FALSE)</f>
      </c>
      <c r="D969" t="str">
        <f>VLOOKUP($A969,Szamlaszamok!$A968:F2524,4,FALSE)</f>
      </c>
      <c r="E969" t="str">
        <f>DATE(YEAR(D969),MONTH(D969),DAY(D969))</f>
      </c>
      <c r="F969" t="str">
        <f>CONCATENATE(C969,E969)</f>
      </c>
      <c r="G969" t="str">
        <f>TIMEVALUE(D969)</f>
      </c>
      <c r="H969" t="str">
        <f>COUNTIF(Szamlaszamok!A:A,A969)</f>
      </c>
      <c r="I969" t="str">
        <f>SUMIFS(Szamlaszamok!E:E,Szamlaszamok!A:A,Szamlaszamok_nonduplicate!A969)</f>
      </c>
    </row>
    <row r="970" spans="1:9">
      <c r="A970" t="s">
        <v>3645</v>
      </c>
      <c r="B970" t="str">
        <f>VLOOKUP($A970,Szamlaszamok!$A969:F2525,2,FALSE)</f>
      </c>
      <c r="C970" t="str">
        <f>VLOOKUP($A970,Szamlaszamok!$A969:F2525,3,FALSE)</f>
      </c>
      <c r="D970" t="str">
        <f>VLOOKUP($A970,Szamlaszamok!$A969:F2525,4,FALSE)</f>
      </c>
      <c r="E970" t="str">
        <f>DATE(YEAR(D970),MONTH(D970),DAY(D970))</f>
      </c>
      <c r="F970" t="str">
        <f>CONCATENATE(C970,E970)</f>
      </c>
      <c r="G970" t="str">
        <f>TIMEVALUE(D970)</f>
      </c>
      <c r="H970" t="str">
        <f>COUNTIF(Szamlaszamok!A:A,A970)</f>
      </c>
      <c r="I970" t="str">
        <f>SUMIFS(Szamlaszamok!E:E,Szamlaszamok!A:A,Szamlaszamok_nonduplicate!A970)</f>
      </c>
    </row>
    <row r="971" spans="1:9">
      <c r="A971" t="s">
        <v>3648</v>
      </c>
      <c r="B971" t="str">
        <f>VLOOKUP($A971,Szamlaszamok!$A970:F2526,2,FALSE)</f>
      </c>
      <c r="C971" t="str">
        <f>VLOOKUP($A971,Szamlaszamok!$A970:F2526,3,FALSE)</f>
      </c>
      <c r="D971" t="str">
        <f>VLOOKUP($A971,Szamlaszamok!$A970:F2526,4,FALSE)</f>
      </c>
      <c r="E971" t="str">
        <f>DATE(YEAR(D971),MONTH(D971),DAY(D971))</f>
      </c>
      <c r="F971" t="str">
        <f>CONCATENATE(C971,E971)</f>
      </c>
      <c r="G971" t="str">
        <f>TIMEVALUE(D971)</f>
      </c>
      <c r="H971" t="str">
        <f>COUNTIF(Szamlaszamok!A:A,A971)</f>
      </c>
      <c r="I971" t="str">
        <f>SUMIFS(Szamlaszamok!E:E,Szamlaszamok!A:A,Szamlaszamok_nonduplicate!A971)</f>
      </c>
    </row>
    <row r="972" spans="1:9">
      <c r="A972" t="s">
        <v>3652</v>
      </c>
      <c r="B972" t="str">
        <f>VLOOKUP($A972,Szamlaszamok!$A971:F2527,2,FALSE)</f>
      </c>
      <c r="C972" t="str">
        <f>VLOOKUP($A972,Szamlaszamok!$A971:F2527,3,FALSE)</f>
      </c>
      <c r="D972" t="str">
        <f>VLOOKUP($A972,Szamlaszamok!$A971:F2527,4,FALSE)</f>
      </c>
      <c r="E972" t="str">
        <f>DATE(YEAR(D972),MONTH(D972),DAY(D972))</f>
      </c>
      <c r="F972" t="str">
        <f>CONCATENATE(C972,E972)</f>
      </c>
      <c r="G972" t="str">
        <f>TIMEVALUE(D972)</f>
      </c>
      <c r="H972" t="str">
        <f>COUNTIF(Szamlaszamok!A:A,A972)</f>
      </c>
      <c r="I972" t="str">
        <f>SUMIFS(Szamlaszamok!E:E,Szamlaszamok!A:A,Szamlaszamok_nonduplicate!A972)</f>
      </c>
    </row>
    <row r="973" spans="1:9">
      <c r="A973" t="s">
        <v>3656</v>
      </c>
      <c r="B973" t="str">
        <f>VLOOKUP($A973,Szamlaszamok!$A972:F2528,2,FALSE)</f>
      </c>
      <c r="C973" t="str">
        <f>VLOOKUP($A973,Szamlaszamok!$A972:F2528,3,FALSE)</f>
      </c>
      <c r="D973" t="str">
        <f>VLOOKUP($A973,Szamlaszamok!$A972:F2528,4,FALSE)</f>
      </c>
      <c r="E973" t="str">
        <f>DATE(YEAR(D973),MONTH(D973),DAY(D973))</f>
      </c>
      <c r="F973" t="str">
        <f>CONCATENATE(C973,E973)</f>
      </c>
      <c r="G973" t="str">
        <f>TIMEVALUE(D973)</f>
      </c>
      <c r="H973" t="str">
        <f>COUNTIF(Szamlaszamok!A:A,A973)</f>
      </c>
      <c r="I973" t="str">
        <f>SUMIFS(Szamlaszamok!E:E,Szamlaszamok!A:A,Szamlaszamok_nonduplicate!A973)</f>
      </c>
    </row>
    <row r="974" spans="1:9">
      <c r="A974" t="s">
        <v>3660</v>
      </c>
      <c r="B974" t="str">
        <f>VLOOKUP($A974,Szamlaszamok!$A973:F2529,2,FALSE)</f>
      </c>
      <c r="C974" t="str">
        <f>VLOOKUP($A974,Szamlaszamok!$A973:F2529,3,FALSE)</f>
      </c>
      <c r="D974" t="str">
        <f>VLOOKUP($A974,Szamlaszamok!$A973:F2529,4,FALSE)</f>
      </c>
      <c r="E974" t="str">
        <f>DATE(YEAR(D974),MONTH(D974),DAY(D974))</f>
      </c>
      <c r="F974" t="str">
        <f>CONCATENATE(C974,E974)</f>
      </c>
      <c r="G974" t="str">
        <f>TIMEVALUE(D974)</f>
      </c>
      <c r="H974" t="str">
        <f>COUNTIF(Szamlaszamok!A:A,A974)</f>
      </c>
      <c r="I974" t="str">
        <f>SUMIFS(Szamlaszamok!E:E,Szamlaszamok!A:A,Szamlaszamok_nonduplicate!A974)</f>
      </c>
    </row>
    <row r="975" spans="1:9">
      <c r="A975" t="s">
        <v>3664</v>
      </c>
      <c r="B975" t="str">
        <f>VLOOKUP($A975,Szamlaszamok!$A974:F2530,2,FALSE)</f>
      </c>
      <c r="C975" t="str">
        <f>VLOOKUP($A975,Szamlaszamok!$A974:F2530,3,FALSE)</f>
      </c>
      <c r="D975" t="str">
        <f>VLOOKUP($A975,Szamlaszamok!$A974:F2530,4,FALSE)</f>
      </c>
      <c r="E975" t="str">
        <f>DATE(YEAR(D975),MONTH(D975),DAY(D975))</f>
      </c>
      <c r="F975" t="str">
        <f>CONCATENATE(C975,E975)</f>
      </c>
      <c r="G975" t="str">
        <f>TIMEVALUE(D975)</f>
      </c>
      <c r="H975" t="str">
        <f>COUNTIF(Szamlaszamok!A:A,A975)</f>
      </c>
      <c r="I975" t="str">
        <f>SUMIFS(Szamlaszamok!E:E,Szamlaszamok!A:A,Szamlaszamok_nonduplicate!A975)</f>
      </c>
    </row>
    <row r="976" spans="1:9">
      <c r="A976" t="s">
        <v>3668</v>
      </c>
      <c r="B976" t="str">
        <f>VLOOKUP($A976,Szamlaszamok!$A975:F2531,2,FALSE)</f>
      </c>
      <c r="C976" t="str">
        <f>VLOOKUP($A976,Szamlaszamok!$A975:F2531,3,FALSE)</f>
      </c>
      <c r="D976" t="str">
        <f>VLOOKUP($A976,Szamlaszamok!$A975:F2531,4,FALSE)</f>
      </c>
      <c r="E976" t="str">
        <f>DATE(YEAR(D976),MONTH(D976),DAY(D976))</f>
      </c>
      <c r="F976" t="str">
        <f>CONCATENATE(C976,E976)</f>
      </c>
      <c r="G976" t="str">
        <f>TIMEVALUE(D976)</f>
      </c>
      <c r="H976" t="str">
        <f>COUNTIF(Szamlaszamok!A:A,A976)</f>
      </c>
      <c r="I976" t="str">
        <f>SUMIFS(Szamlaszamok!E:E,Szamlaszamok!A:A,Szamlaszamok_nonduplicate!A976)</f>
      </c>
    </row>
    <row r="977" spans="1:9">
      <c r="A977" t="s">
        <v>3672</v>
      </c>
      <c r="B977" t="str">
        <f>VLOOKUP($A977,Szamlaszamok!$A976:F2532,2,FALSE)</f>
      </c>
      <c r="C977" t="str">
        <f>VLOOKUP($A977,Szamlaszamok!$A976:F2532,3,FALSE)</f>
      </c>
      <c r="D977" t="str">
        <f>VLOOKUP($A977,Szamlaszamok!$A976:F2532,4,FALSE)</f>
      </c>
      <c r="E977" t="str">
        <f>DATE(YEAR(D977),MONTH(D977),DAY(D977))</f>
      </c>
      <c r="F977" t="str">
        <f>CONCATENATE(C977,E977)</f>
      </c>
      <c r="G977" t="str">
        <f>TIMEVALUE(D977)</f>
      </c>
      <c r="H977" t="str">
        <f>COUNTIF(Szamlaszamok!A:A,A977)</f>
      </c>
      <c r="I977" t="str">
        <f>SUMIFS(Szamlaszamok!E:E,Szamlaszamok!A:A,Szamlaszamok_nonduplicate!A977)</f>
      </c>
    </row>
    <row r="978" spans="1:9">
      <c r="A978" t="s">
        <v>3676</v>
      </c>
      <c r="B978" t="str">
        <f>VLOOKUP($A978,Szamlaszamok!$A977:F2533,2,FALSE)</f>
      </c>
      <c r="C978" t="str">
        <f>VLOOKUP($A978,Szamlaszamok!$A977:F2533,3,FALSE)</f>
      </c>
      <c r="D978" t="str">
        <f>VLOOKUP($A978,Szamlaszamok!$A977:F2533,4,FALSE)</f>
      </c>
      <c r="E978" t="str">
        <f>DATE(YEAR(D978),MONTH(D978),DAY(D978))</f>
      </c>
      <c r="F978" t="str">
        <f>CONCATENATE(C978,E978)</f>
      </c>
      <c r="G978" t="str">
        <f>TIMEVALUE(D978)</f>
      </c>
      <c r="H978" t="str">
        <f>COUNTIF(Szamlaszamok!A:A,A978)</f>
      </c>
      <c r="I978" t="str">
        <f>SUMIFS(Szamlaszamok!E:E,Szamlaszamok!A:A,Szamlaszamok_nonduplicate!A978)</f>
      </c>
    </row>
    <row r="979" spans="1:9">
      <c r="A979" t="s">
        <v>3679</v>
      </c>
      <c r="B979" t="str">
        <f>VLOOKUP($A979,Szamlaszamok!$A978:F2534,2,FALSE)</f>
      </c>
      <c r="C979" t="str">
        <f>VLOOKUP($A979,Szamlaszamok!$A978:F2534,3,FALSE)</f>
      </c>
      <c r="D979" t="str">
        <f>VLOOKUP($A979,Szamlaszamok!$A978:F2534,4,FALSE)</f>
      </c>
      <c r="E979" t="str">
        <f>DATE(YEAR(D979),MONTH(D979),DAY(D979))</f>
      </c>
      <c r="F979" t="str">
        <f>CONCATENATE(C979,E979)</f>
      </c>
      <c r="G979" t="str">
        <f>TIMEVALUE(D979)</f>
      </c>
      <c r="H979" t="str">
        <f>COUNTIF(Szamlaszamok!A:A,A979)</f>
      </c>
      <c r="I979" t="str">
        <f>SUMIFS(Szamlaszamok!E:E,Szamlaszamok!A:A,Szamlaszamok_nonduplicate!A979)</f>
      </c>
    </row>
    <row r="980" spans="1:9">
      <c r="A980" t="s">
        <v>3683</v>
      </c>
      <c r="B980" t="str">
        <f>VLOOKUP($A980,Szamlaszamok!$A979:F2535,2,FALSE)</f>
      </c>
      <c r="C980" t="str">
        <f>VLOOKUP($A980,Szamlaszamok!$A979:F2535,3,FALSE)</f>
      </c>
      <c r="D980" t="str">
        <f>VLOOKUP($A980,Szamlaszamok!$A979:F2535,4,FALSE)</f>
      </c>
      <c r="E980" t="str">
        <f>DATE(YEAR(D980),MONTH(D980),DAY(D980))</f>
      </c>
      <c r="F980" t="str">
        <f>CONCATENATE(C980,E980)</f>
      </c>
      <c r="G980" t="str">
        <f>TIMEVALUE(D980)</f>
      </c>
      <c r="H980" t="str">
        <f>COUNTIF(Szamlaszamok!A:A,A980)</f>
      </c>
      <c r="I980" t="str">
        <f>SUMIFS(Szamlaszamok!E:E,Szamlaszamok!A:A,Szamlaszamok_nonduplicate!A980)</f>
      </c>
    </row>
    <row r="981" spans="1:9">
      <c r="A981" t="s">
        <v>3687</v>
      </c>
      <c r="B981" t="str">
        <f>VLOOKUP($A981,Szamlaszamok!$A980:F2536,2,FALSE)</f>
      </c>
      <c r="C981" t="str">
        <f>VLOOKUP($A981,Szamlaszamok!$A980:F2536,3,FALSE)</f>
      </c>
      <c r="D981" t="str">
        <f>VLOOKUP($A981,Szamlaszamok!$A980:F2536,4,FALSE)</f>
      </c>
      <c r="E981" t="str">
        <f>DATE(YEAR(D981),MONTH(D981),DAY(D981))</f>
      </c>
      <c r="F981" t="str">
        <f>CONCATENATE(C981,E981)</f>
      </c>
      <c r="G981" t="str">
        <f>TIMEVALUE(D981)</f>
      </c>
      <c r="H981" t="str">
        <f>COUNTIF(Szamlaszamok!A:A,A981)</f>
      </c>
      <c r="I981" t="str">
        <f>SUMIFS(Szamlaszamok!E:E,Szamlaszamok!A:A,Szamlaszamok_nonduplicate!A981)</f>
      </c>
    </row>
    <row r="982" spans="1:9">
      <c r="A982" t="s">
        <v>3692</v>
      </c>
      <c r="B982" t="str">
        <f>VLOOKUP($A982,Szamlaszamok!$A981:F2537,2,FALSE)</f>
      </c>
      <c r="C982" t="str">
        <f>VLOOKUP($A982,Szamlaszamok!$A981:F2537,3,FALSE)</f>
      </c>
      <c r="D982" t="str">
        <f>VLOOKUP($A982,Szamlaszamok!$A981:F2537,4,FALSE)</f>
      </c>
      <c r="E982" t="str">
        <f>DATE(YEAR(D982),MONTH(D982),DAY(D982))</f>
      </c>
      <c r="F982" t="str">
        <f>CONCATENATE(C982,E982)</f>
      </c>
      <c r="G982" t="str">
        <f>TIMEVALUE(D982)</f>
      </c>
      <c r="H982" t="str">
        <f>COUNTIF(Szamlaszamok!A:A,A982)</f>
      </c>
      <c r="I982" t="str">
        <f>SUMIFS(Szamlaszamok!E:E,Szamlaszamok!A:A,Szamlaszamok_nonduplicate!A982)</f>
      </c>
    </row>
    <row r="983" spans="1:9">
      <c r="A983" t="s">
        <v>3697</v>
      </c>
      <c r="B983" t="str">
        <f>VLOOKUP($A983,Szamlaszamok!$A982:F2538,2,FALSE)</f>
      </c>
      <c r="C983" t="str">
        <f>VLOOKUP($A983,Szamlaszamok!$A982:F2538,3,FALSE)</f>
      </c>
      <c r="D983" t="str">
        <f>VLOOKUP($A983,Szamlaszamok!$A982:F2538,4,FALSE)</f>
      </c>
      <c r="E983" t="str">
        <f>DATE(YEAR(D983),MONTH(D983),DAY(D983))</f>
      </c>
      <c r="F983" t="str">
        <f>CONCATENATE(C983,E983)</f>
      </c>
      <c r="G983" t="str">
        <f>TIMEVALUE(D983)</f>
      </c>
      <c r="H983" t="str">
        <f>COUNTIF(Szamlaszamok!A:A,A983)</f>
      </c>
      <c r="I983" t="str">
        <f>SUMIFS(Szamlaszamok!E:E,Szamlaszamok!A:A,Szamlaszamok_nonduplicate!A983)</f>
      </c>
    </row>
    <row r="984" spans="1:9">
      <c r="A984" t="s">
        <v>3701</v>
      </c>
      <c r="B984" t="str">
        <f>VLOOKUP($A984,Szamlaszamok!$A983:F2539,2,FALSE)</f>
      </c>
      <c r="C984" t="str">
        <f>VLOOKUP($A984,Szamlaszamok!$A983:F2539,3,FALSE)</f>
      </c>
      <c r="D984" t="str">
        <f>VLOOKUP($A984,Szamlaszamok!$A983:F2539,4,FALSE)</f>
      </c>
      <c r="E984" t="str">
        <f>DATE(YEAR(D984),MONTH(D984),DAY(D984))</f>
      </c>
      <c r="F984" t="str">
        <f>CONCATENATE(C984,E984)</f>
      </c>
      <c r="G984" t="str">
        <f>TIMEVALUE(D984)</f>
      </c>
      <c r="H984" t="str">
        <f>COUNTIF(Szamlaszamok!A:A,A984)</f>
      </c>
      <c r="I984" t="str">
        <f>SUMIFS(Szamlaszamok!E:E,Szamlaszamok!A:A,Szamlaszamok_nonduplicate!A984)</f>
      </c>
    </row>
    <row r="985" spans="1:9">
      <c r="A985" t="s">
        <v>3704</v>
      </c>
      <c r="B985" t="str">
        <f>VLOOKUP($A985,Szamlaszamok!$A984:F2540,2,FALSE)</f>
      </c>
      <c r="C985" t="str">
        <f>VLOOKUP($A985,Szamlaszamok!$A984:F2540,3,FALSE)</f>
      </c>
      <c r="D985" t="str">
        <f>VLOOKUP($A985,Szamlaszamok!$A984:F2540,4,FALSE)</f>
      </c>
      <c r="E985" t="str">
        <f>DATE(YEAR(D985),MONTH(D985),DAY(D985))</f>
      </c>
      <c r="F985" t="str">
        <f>CONCATENATE(C985,E985)</f>
      </c>
      <c r="G985" t="str">
        <f>TIMEVALUE(D985)</f>
      </c>
      <c r="H985" t="str">
        <f>COUNTIF(Szamlaszamok!A:A,A985)</f>
      </c>
      <c r="I985" t="str">
        <f>SUMIFS(Szamlaszamok!E:E,Szamlaszamok!A:A,Szamlaszamok_nonduplicate!A985)</f>
      </c>
    </row>
    <row r="986" spans="1:9">
      <c r="A986" t="s">
        <v>3707</v>
      </c>
      <c r="B986" t="str">
        <f>VLOOKUP($A986,Szamlaszamok!$A985:F2541,2,FALSE)</f>
      </c>
      <c r="C986" t="str">
        <f>VLOOKUP($A986,Szamlaszamok!$A985:F2541,3,FALSE)</f>
      </c>
      <c r="D986" t="str">
        <f>VLOOKUP($A986,Szamlaszamok!$A985:F2541,4,FALSE)</f>
      </c>
      <c r="E986" t="str">
        <f>DATE(YEAR(D986),MONTH(D986),DAY(D986))</f>
      </c>
      <c r="F986" t="str">
        <f>CONCATENATE(C986,E986)</f>
      </c>
      <c r="G986" t="str">
        <f>TIMEVALUE(D986)</f>
      </c>
      <c r="H986" t="str">
        <f>COUNTIF(Szamlaszamok!A:A,A986)</f>
      </c>
      <c r="I986" t="str">
        <f>SUMIFS(Szamlaszamok!E:E,Szamlaszamok!A:A,Szamlaszamok_nonduplicate!A986)</f>
      </c>
    </row>
    <row r="987" spans="1:9">
      <c r="A987" t="s">
        <v>3711</v>
      </c>
      <c r="B987" t="str">
        <f>VLOOKUP($A987,Szamlaszamok!$A986:F2542,2,FALSE)</f>
      </c>
      <c r="C987" t="str">
        <f>VLOOKUP($A987,Szamlaszamok!$A986:F2542,3,FALSE)</f>
      </c>
      <c r="D987" t="str">
        <f>VLOOKUP($A987,Szamlaszamok!$A986:F2542,4,FALSE)</f>
      </c>
      <c r="E987" t="str">
        <f>DATE(YEAR(D987),MONTH(D987),DAY(D987))</f>
      </c>
      <c r="F987" t="str">
        <f>CONCATENATE(C987,E987)</f>
      </c>
      <c r="G987" t="str">
        <f>TIMEVALUE(D987)</f>
      </c>
      <c r="H987" t="str">
        <f>COUNTIF(Szamlaszamok!A:A,A987)</f>
      </c>
      <c r="I987" t="str">
        <f>SUMIFS(Szamlaszamok!E:E,Szamlaszamok!A:A,Szamlaszamok_nonduplicate!A987)</f>
      </c>
    </row>
    <row r="988" spans="1:9">
      <c r="A988" t="s">
        <v>3715</v>
      </c>
      <c r="B988" t="str">
        <f>VLOOKUP($A988,Szamlaszamok!$A987:F2543,2,FALSE)</f>
      </c>
      <c r="C988" t="str">
        <f>VLOOKUP($A988,Szamlaszamok!$A987:F2543,3,FALSE)</f>
      </c>
      <c r="D988" t="str">
        <f>VLOOKUP($A988,Szamlaszamok!$A987:F2543,4,FALSE)</f>
      </c>
      <c r="E988" t="str">
        <f>DATE(YEAR(D988),MONTH(D988),DAY(D988))</f>
      </c>
      <c r="F988" t="str">
        <f>CONCATENATE(C988,E988)</f>
      </c>
      <c r="G988" t="str">
        <f>TIMEVALUE(D988)</f>
      </c>
      <c r="H988" t="str">
        <f>COUNTIF(Szamlaszamok!A:A,A988)</f>
      </c>
      <c r="I988" t="str">
        <f>SUMIFS(Szamlaszamok!E:E,Szamlaszamok!A:A,Szamlaszamok_nonduplicate!A988)</f>
      </c>
    </row>
    <row r="989" spans="1:9">
      <c r="A989" t="s">
        <v>3720</v>
      </c>
      <c r="B989" t="str">
        <f>VLOOKUP($A989,Szamlaszamok!$A988:F2544,2,FALSE)</f>
      </c>
      <c r="C989" t="str">
        <f>VLOOKUP($A989,Szamlaszamok!$A988:F2544,3,FALSE)</f>
      </c>
      <c r="D989" t="str">
        <f>VLOOKUP($A989,Szamlaszamok!$A988:F2544,4,FALSE)</f>
      </c>
      <c r="E989" t="str">
        <f>DATE(YEAR(D989),MONTH(D989),DAY(D989))</f>
      </c>
      <c r="F989" t="str">
        <f>CONCATENATE(C989,E989)</f>
      </c>
      <c r="G989" t="str">
        <f>TIMEVALUE(D989)</f>
      </c>
      <c r="H989" t="str">
        <f>COUNTIF(Szamlaszamok!A:A,A989)</f>
      </c>
      <c r="I989" t="str">
        <f>SUMIFS(Szamlaszamok!E:E,Szamlaszamok!A:A,Szamlaszamok_nonduplicate!A989)</f>
      </c>
    </row>
    <row r="990" spans="1:9">
      <c r="A990" t="s">
        <v>3723</v>
      </c>
      <c r="B990" t="str">
        <f>VLOOKUP($A990,Szamlaszamok!$A989:F2545,2,FALSE)</f>
      </c>
      <c r="C990" t="str">
        <f>VLOOKUP($A990,Szamlaszamok!$A989:F2545,3,FALSE)</f>
      </c>
      <c r="D990" t="str">
        <f>VLOOKUP($A990,Szamlaszamok!$A989:F2545,4,FALSE)</f>
      </c>
      <c r="E990" t="str">
        <f>DATE(YEAR(D990),MONTH(D990),DAY(D990))</f>
      </c>
      <c r="F990" t="str">
        <f>CONCATENATE(C990,E990)</f>
      </c>
      <c r="G990" t="str">
        <f>TIMEVALUE(D990)</f>
      </c>
      <c r="H990" t="str">
        <f>COUNTIF(Szamlaszamok!A:A,A990)</f>
      </c>
      <c r="I990" t="str">
        <f>SUMIFS(Szamlaszamok!E:E,Szamlaszamok!A:A,Szamlaszamok_nonduplicate!A990)</f>
      </c>
    </row>
    <row r="991" spans="1:9">
      <c r="A991" t="s">
        <v>3726</v>
      </c>
      <c r="B991" t="str">
        <f>VLOOKUP($A991,Szamlaszamok!$A990:F2546,2,FALSE)</f>
      </c>
      <c r="C991" t="str">
        <f>VLOOKUP($A991,Szamlaszamok!$A990:F2546,3,FALSE)</f>
      </c>
      <c r="D991" t="str">
        <f>VLOOKUP($A991,Szamlaszamok!$A990:F2546,4,FALSE)</f>
      </c>
      <c r="E991" t="str">
        <f>DATE(YEAR(D991),MONTH(D991),DAY(D991))</f>
      </c>
      <c r="F991" t="str">
        <f>CONCATENATE(C991,E991)</f>
      </c>
      <c r="G991" t="str">
        <f>TIMEVALUE(D991)</f>
      </c>
      <c r="H991" t="str">
        <f>COUNTIF(Szamlaszamok!A:A,A991)</f>
      </c>
      <c r="I991" t="str">
        <f>SUMIFS(Szamlaszamok!E:E,Szamlaszamok!A:A,Szamlaszamok_nonduplicate!A991)</f>
      </c>
    </row>
    <row r="992" spans="1:9">
      <c r="A992" t="s">
        <v>3730</v>
      </c>
      <c r="B992" t="str">
        <f>VLOOKUP($A992,Szamlaszamok!$A991:F2547,2,FALSE)</f>
      </c>
      <c r="C992" t="str">
        <f>VLOOKUP($A992,Szamlaszamok!$A991:F2547,3,FALSE)</f>
      </c>
      <c r="D992" t="str">
        <f>VLOOKUP($A992,Szamlaszamok!$A991:F2547,4,FALSE)</f>
      </c>
      <c r="E992" t="str">
        <f>DATE(YEAR(D992),MONTH(D992),DAY(D992))</f>
      </c>
      <c r="F992" t="str">
        <f>CONCATENATE(C992,E992)</f>
      </c>
      <c r="G992" t="str">
        <f>TIMEVALUE(D992)</f>
      </c>
      <c r="H992" t="str">
        <f>COUNTIF(Szamlaszamok!A:A,A992)</f>
      </c>
      <c r="I992" t="str">
        <f>SUMIFS(Szamlaszamok!E:E,Szamlaszamok!A:A,Szamlaszamok_nonduplicate!A992)</f>
      </c>
    </row>
    <row r="993" spans="1:9">
      <c r="A993" t="s">
        <v>3732</v>
      </c>
      <c r="B993" t="str">
        <f>VLOOKUP($A993,Szamlaszamok!$A992:F2548,2,FALSE)</f>
      </c>
      <c r="C993" t="str">
        <f>VLOOKUP($A993,Szamlaszamok!$A992:F2548,3,FALSE)</f>
      </c>
      <c r="D993" t="str">
        <f>VLOOKUP($A993,Szamlaszamok!$A992:F2548,4,FALSE)</f>
      </c>
      <c r="E993" t="str">
        <f>DATE(YEAR(D993),MONTH(D993),DAY(D993))</f>
      </c>
      <c r="F993" t="str">
        <f>CONCATENATE(C993,E993)</f>
      </c>
      <c r="G993" t="str">
        <f>TIMEVALUE(D993)</f>
      </c>
      <c r="H993" t="str">
        <f>COUNTIF(Szamlaszamok!A:A,A993)</f>
      </c>
      <c r="I993" t="str">
        <f>SUMIFS(Szamlaszamok!E:E,Szamlaszamok!A:A,Szamlaszamok_nonduplicate!A993)</f>
      </c>
    </row>
    <row r="994" spans="1:9">
      <c r="A994" t="s">
        <v>3735</v>
      </c>
      <c r="B994" t="str">
        <f>VLOOKUP($A994,Szamlaszamok!$A993:F2549,2,FALSE)</f>
      </c>
      <c r="C994" t="str">
        <f>VLOOKUP($A994,Szamlaszamok!$A993:F2549,3,FALSE)</f>
      </c>
      <c r="D994" t="str">
        <f>VLOOKUP($A994,Szamlaszamok!$A993:F2549,4,FALSE)</f>
      </c>
      <c r="E994" t="str">
        <f>DATE(YEAR(D994),MONTH(D994),DAY(D994))</f>
      </c>
      <c r="F994" t="str">
        <f>CONCATENATE(C994,E994)</f>
      </c>
      <c r="G994" t="str">
        <f>TIMEVALUE(D994)</f>
      </c>
      <c r="H994" t="str">
        <f>COUNTIF(Szamlaszamok!A:A,A994)</f>
      </c>
      <c r="I994" t="str">
        <f>SUMIFS(Szamlaszamok!E:E,Szamlaszamok!A:A,Szamlaszamok_nonduplicate!A994)</f>
      </c>
    </row>
    <row r="995" spans="1:9">
      <c r="A995" t="s">
        <v>3739</v>
      </c>
      <c r="B995" t="str">
        <f>VLOOKUP($A995,Szamlaszamok!$A994:F2550,2,FALSE)</f>
      </c>
      <c r="C995" t="str">
        <f>VLOOKUP($A995,Szamlaszamok!$A994:F2550,3,FALSE)</f>
      </c>
      <c r="D995" t="str">
        <f>VLOOKUP($A995,Szamlaszamok!$A994:F2550,4,FALSE)</f>
      </c>
      <c r="E995" t="str">
        <f>DATE(YEAR(D995),MONTH(D995),DAY(D995))</f>
      </c>
      <c r="F995" t="str">
        <f>CONCATENATE(C995,E995)</f>
      </c>
      <c r="G995" t="str">
        <f>TIMEVALUE(D995)</f>
      </c>
      <c r="H995" t="str">
        <f>COUNTIF(Szamlaszamok!A:A,A995)</f>
      </c>
      <c r="I995" t="str">
        <f>SUMIFS(Szamlaszamok!E:E,Szamlaszamok!A:A,Szamlaszamok_nonduplicate!A995)</f>
      </c>
    </row>
    <row r="996" spans="1:9">
      <c r="A996" t="s">
        <v>3742</v>
      </c>
      <c r="B996" t="str">
        <f>VLOOKUP($A996,Szamlaszamok!$A995:F2551,2,FALSE)</f>
      </c>
      <c r="C996" t="str">
        <f>VLOOKUP($A996,Szamlaszamok!$A995:F2551,3,FALSE)</f>
      </c>
      <c r="D996" t="str">
        <f>VLOOKUP($A996,Szamlaszamok!$A995:F2551,4,FALSE)</f>
      </c>
      <c r="E996" t="str">
        <f>DATE(YEAR(D996),MONTH(D996),DAY(D996))</f>
      </c>
      <c r="F996" t="str">
        <f>CONCATENATE(C996,E996)</f>
      </c>
      <c r="G996" t="str">
        <f>TIMEVALUE(D996)</f>
      </c>
      <c r="H996" t="str">
        <f>COUNTIF(Szamlaszamok!A:A,A996)</f>
      </c>
      <c r="I996" t="str">
        <f>SUMIFS(Szamlaszamok!E:E,Szamlaszamok!A:A,Szamlaszamok_nonduplicate!A996)</f>
      </c>
    </row>
    <row r="997" spans="1:9">
      <c r="A997" t="s">
        <v>3746</v>
      </c>
      <c r="B997" t="str">
        <f>VLOOKUP($A997,Szamlaszamok!$A996:F2552,2,FALSE)</f>
      </c>
      <c r="C997" t="str">
        <f>VLOOKUP($A997,Szamlaszamok!$A996:F2552,3,FALSE)</f>
      </c>
      <c r="D997" t="str">
        <f>VLOOKUP($A997,Szamlaszamok!$A996:F2552,4,FALSE)</f>
      </c>
      <c r="E997" t="str">
        <f>DATE(YEAR(D997),MONTH(D997),DAY(D997))</f>
      </c>
      <c r="F997" t="str">
        <f>CONCATENATE(C997,E997)</f>
      </c>
      <c r="G997" t="str">
        <f>TIMEVALUE(D997)</f>
      </c>
      <c r="H997" t="str">
        <f>COUNTIF(Szamlaszamok!A:A,A997)</f>
      </c>
      <c r="I997" t="str">
        <f>SUMIFS(Szamlaszamok!E:E,Szamlaszamok!A:A,Szamlaszamok_nonduplicate!A997)</f>
      </c>
    </row>
    <row r="998" spans="1:9">
      <c r="A998" t="s">
        <v>3749</v>
      </c>
      <c r="B998" t="str">
        <f>VLOOKUP($A998,Szamlaszamok!$A997:F2553,2,FALSE)</f>
      </c>
      <c r="C998" t="str">
        <f>VLOOKUP($A998,Szamlaszamok!$A997:F2553,3,FALSE)</f>
      </c>
      <c r="D998" t="str">
        <f>VLOOKUP($A998,Szamlaszamok!$A997:F2553,4,FALSE)</f>
      </c>
      <c r="E998" t="str">
        <f>DATE(YEAR(D998),MONTH(D998),DAY(D998))</f>
      </c>
      <c r="F998" t="str">
        <f>CONCATENATE(C998,E998)</f>
      </c>
      <c r="G998" t="str">
        <f>TIMEVALUE(D998)</f>
      </c>
      <c r="H998" t="str">
        <f>COUNTIF(Szamlaszamok!A:A,A998)</f>
      </c>
      <c r="I998" t="str">
        <f>SUMIFS(Szamlaszamok!E:E,Szamlaszamok!A:A,Szamlaszamok_nonduplicate!A998)</f>
      </c>
    </row>
    <row r="999" spans="1:9">
      <c r="A999" t="s">
        <v>3752</v>
      </c>
      <c r="B999" t="str">
        <f>VLOOKUP($A999,Szamlaszamok!$A998:F2554,2,FALSE)</f>
      </c>
      <c r="C999" t="str">
        <f>VLOOKUP($A999,Szamlaszamok!$A998:F2554,3,FALSE)</f>
      </c>
      <c r="D999" t="str">
        <f>VLOOKUP($A999,Szamlaszamok!$A998:F2554,4,FALSE)</f>
      </c>
      <c r="E999" t="str">
        <f>DATE(YEAR(D999),MONTH(D999),DAY(D999))</f>
      </c>
      <c r="F999" t="str">
        <f>CONCATENATE(C999,E999)</f>
      </c>
      <c r="G999" t="str">
        <f>TIMEVALUE(D999)</f>
      </c>
      <c r="H999" t="str">
        <f>COUNTIF(Szamlaszamok!A:A,A999)</f>
      </c>
      <c r="I999" t="str">
        <f>SUMIFS(Szamlaszamok!E:E,Szamlaszamok!A:A,Szamlaszamok_nonduplicate!A999)</f>
      </c>
    </row>
    <row r="1000" spans="1:9">
      <c r="A1000" t="s">
        <v>3755</v>
      </c>
      <c r="B1000" t="str">
        <f>VLOOKUP($A1000,Szamlaszamok!$A999:F2555,2,FALSE)</f>
      </c>
      <c r="C1000" t="str">
        <f>VLOOKUP($A1000,Szamlaszamok!$A999:F2555,3,FALSE)</f>
      </c>
      <c r="D1000" t="str">
        <f>VLOOKUP($A1000,Szamlaszamok!$A999:F2555,4,FALSE)</f>
      </c>
      <c r="E1000" t="str">
        <f>DATE(YEAR(D1000),MONTH(D1000),DAY(D1000))</f>
      </c>
      <c r="F1000" t="str">
        <f>CONCATENATE(C1000,E1000)</f>
      </c>
      <c r="G1000" t="str">
        <f>TIMEVALUE(D1000)</f>
      </c>
      <c r="H1000" t="str">
        <f>COUNTIF(Szamlaszamok!A:A,A1000)</f>
      </c>
      <c r="I1000" t="str">
        <f>SUMIFS(Szamlaszamok!E:E,Szamlaszamok!A:A,Szamlaszamok_nonduplicate!A1000)</f>
      </c>
    </row>
    <row r="1001" spans="1:9">
      <c r="A1001" t="s">
        <v>3760</v>
      </c>
      <c r="B1001" t="str">
        <f>VLOOKUP($A1001,Szamlaszamok!$A1000:F2556,2,FALSE)</f>
      </c>
      <c r="C1001" t="str">
        <f>VLOOKUP($A1001,Szamlaszamok!$A1000:F2556,3,FALSE)</f>
      </c>
      <c r="D1001" t="str">
        <f>VLOOKUP($A1001,Szamlaszamok!$A1000:F2556,4,FALSE)</f>
      </c>
      <c r="E1001" t="str">
        <f>DATE(YEAR(D1001),MONTH(D1001),DAY(D1001))</f>
      </c>
      <c r="F1001" t="str">
        <f>CONCATENATE(C1001,E1001)</f>
      </c>
      <c r="G1001" t="str">
        <f>TIMEVALUE(D1001)</f>
      </c>
      <c r="H1001" t="str">
        <f>COUNTIF(Szamlaszamok!A:A,A1001)</f>
      </c>
      <c r="I1001" t="str">
        <f>SUMIFS(Szamlaszamok!E:E,Szamlaszamok!A:A,Szamlaszamok_nonduplicate!A1001)</f>
      </c>
    </row>
    <row r="1002" spans="1:9">
      <c r="A1002" t="s">
        <v>3763</v>
      </c>
      <c r="B1002" t="str">
        <f>VLOOKUP($A1002,Szamlaszamok!$A1001:F2557,2,FALSE)</f>
      </c>
      <c r="C1002" t="str">
        <f>VLOOKUP($A1002,Szamlaszamok!$A1001:F2557,3,FALSE)</f>
      </c>
      <c r="D1002" t="str">
        <f>VLOOKUP($A1002,Szamlaszamok!$A1001:F2557,4,FALSE)</f>
      </c>
      <c r="E1002" t="str">
        <f>DATE(YEAR(D1002),MONTH(D1002),DAY(D1002))</f>
      </c>
      <c r="F1002" t="str">
        <f>CONCATENATE(C1002,E1002)</f>
      </c>
      <c r="G1002" t="str">
        <f>TIMEVALUE(D1002)</f>
      </c>
      <c r="H1002" t="str">
        <f>COUNTIF(Szamlaszamok!A:A,A1002)</f>
      </c>
      <c r="I1002" t="str">
        <f>SUMIFS(Szamlaszamok!E:E,Szamlaszamok!A:A,Szamlaszamok_nonduplicate!A1002)</f>
      </c>
    </row>
    <row r="1003" spans="1:9">
      <c r="A1003" t="s">
        <v>3768</v>
      </c>
      <c r="B1003" t="str">
        <f>VLOOKUP($A1003,Szamlaszamok!$A1002:F2558,2,FALSE)</f>
      </c>
      <c r="C1003" t="str">
        <f>VLOOKUP($A1003,Szamlaszamok!$A1002:F2558,3,FALSE)</f>
      </c>
      <c r="D1003" t="str">
        <f>VLOOKUP($A1003,Szamlaszamok!$A1002:F2558,4,FALSE)</f>
      </c>
      <c r="E1003" t="str">
        <f>DATE(YEAR(D1003),MONTH(D1003),DAY(D1003))</f>
      </c>
      <c r="F1003" t="str">
        <f>CONCATENATE(C1003,E1003)</f>
      </c>
      <c r="G1003" t="str">
        <f>TIMEVALUE(D1003)</f>
      </c>
      <c r="H1003" t="str">
        <f>COUNTIF(Szamlaszamok!A:A,A1003)</f>
      </c>
      <c r="I1003" t="str">
        <f>SUMIFS(Szamlaszamok!E:E,Szamlaszamok!A:A,Szamlaszamok_nonduplicate!A1003)</f>
      </c>
    </row>
    <row r="1004" spans="1:9">
      <c r="A1004" t="s">
        <v>3771</v>
      </c>
      <c r="B1004" t="str">
        <f>VLOOKUP($A1004,Szamlaszamok!$A1003:F2559,2,FALSE)</f>
      </c>
      <c r="C1004" t="str">
        <f>VLOOKUP($A1004,Szamlaszamok!$A1003:F2559,3,FALSE)</f>
      </c>
      <c r="D1004" t="str">
        <f>VLOOKUP($A1004,Szamlaszamok!$A1003:F2559,4,FALSE)</f>
      </c>
      <c r="E1004" t="str">
        <f>DATE(YEAR(D1004),MONTH(D1004),DAY(D1004))</f>
      </c>
      <c r="F1004" t="str">
        <f>CONCATENATE(C1004,E1004)</f>
      </c>
      <c r="G1004" t="str">
        <f>TIMEVALUE(D1004)</f>
      </c>
      <c r="H1004" t="str">
        <f>COUNTIF(Szamlaszamok!A:A,A1004)</f>
      </c>
      <c r="I1004" t="str">
        <f>SUMIFS(Szamlaszamok!E:E,Szamlaszamok!A:A,Szamlaszamok_nonduplicate!A1004)</f>
      </c>
    </row>
    <row r="1005" spans="1:9">
      <c r="A1005" t="s">
        <v>3775</v>
      </c>
      <c r="B1005" t="str">
        <f>VLOOKUP($A1005,Szamlaszamok!$A1004:F2560,2,FALSE)</f>
      </c>
      <c r="C1005" t="str">
        <f>VLOOKUP($A1005,Szamlaszamok!$A1004:F2560,3,FALSE)</f>
      </c>
      <c r="D1005" t="str">
        <f>VLOOKUP($A1005,Szamlaszamok!$A1004:F2560,4,FALSE)</f>
      </c>
      <c r="E1005" t="str">
        <f>DATE(YEAR(D1005),MONTH(D1005),DAY(D1005))</f>
      </c>
      <c r="F1005" t="str">
        <f>CONCATENATE(C1005,E1005)</f>
      </c>
      <c r="G1005" t="str">
        <f>TIMEVALUE(D1005)</f>
      </c>
      <c r="H1005" t="str">
        <f>COUNTIF(Szamlaszamok!A:A,A1005)</f>
      </c>
      <c r="I1005" t="str">
        <f>SUMIFS(Szamlaszamok!E:E,Szamlaszamok!A:A,Szamlaszamok_nonduplicate!A1005)</f>
      </c>
    </row>
    <row r="1006" spans="1:9">
      <c r="A1006" t="s">
        <v>3779</v>
      </c>
      <c r="B1006" t="str">
        <f>VLOOKUP($A1006,Szamlaszamok!$A1005:F2561,2,FALSE)</f>
      </c>
      <c r="C1006" t="str">
        <f>VLOOKUP($A1006,Szamlaszamok!$A1005:F2561,3,FALSE)</f>
      </c>
      <c r="D1006" t="str">
        <f>VLOOKUP($A1006,Szamlaszamok!$A1005:F2561,4,FALSE)</f>
      </c>
      <c r="E1006" t="str">
        <f>DATE(YEAR(D1006),MONTH(D1006),DAY(D1006))</f>
      </c>
      <c r="F1006" t="str">
        <f>CONCATENATE(C1006,E1006)</f>
      </c>
      <c r="G1006" t="str">
        <f>TIMEVALUE(D1006)</f>
      </c>
      <c r="H1006" t="str">
        <f>COUNTIF(Szamlaszamok!A:A,A1006)</f>
      </c>
      <c r="I1006" t="str">
        <f>SUMIFS(Szamlaszamok!E:E,Szamlaszamok!A:A,Szamlaszamok_nonduplicate!A1006)</f>
      </c>
    </row>
    <row r="1007" spans="1:9">
      <c r="A1007" t="s">
        <v>3782</v>
      </c>
      <c r="B1007" t="str">
        <f>VLOOKUP($A1007,Szamlaszamok!$A1006:F2562,2,FALSE)</f>
      </c>
      <c r="C1007" t="str">
        <f>VLOOKUP($A1007,Szamlaszamok!$A1006:F2562,3,FALSE)</f>
      </c>
      <c r="D1007" t="str">
        <f>VLOOKUP($A1007,Szamlaszamok!$A1006:F2562,4,FALSE)</f>
      </c>
      <c r="E1007" t="str">
        <f>DATE(YEAR(D1007),MONTH(D1007),DAY(D1007))</f>
      </c>
      <c r="F1007" t="str">
        <f>CONCATENATE(C1007,E1007)</f>
      </c>
      <c r="G1007" t="str">
        <f>TIMEVALUE(D1007)</f>
      </c>
      <c r="H1007" t="str">
        <f>COUNTIF(Szamlaszamok!A:A,A1007)</f>
      </c>
      <c r="I1007" t="str">
        <f>SUMIFS(Szamlaszamok!E:E,Szamlaszamok!A:A,Szamlaszamok_nonduplicate!A1007)</f>
      </c>
    </row>
    <row r="1008" spans="1:9">
      <c r="A1008" t="s">
        <v>3785</v>
      </c>
      <c r="B1008" t="str">
        <f>VLOOKUP($A1008,Szamlaszamok!$A1007:F2563,2,FALSE)</f>
      </c>
      <c r="C1008" t="str">
        <f>VLOOKUP($A1008,Szamlaszamok!$A1007:F2563,3,FALSE)</f>
      </c>
      <c r="D1008" t="str">
        <f>VLOOKUP($A1008,Szamlaszamok!$A1007:F2563,4,FALSE)</f>
      </c>
      <c r="E1008" t="str">
        <f>DATE(YEAR(D1008),MONTH(D1008),DAY(D1008))</f>
      </c>
      <c r="F1008" t="str">
        <f>CONCATENATE(C1008,E1008)</f>
      </c>
      <c r="G1008" t="str">
        <f>TIMEVALUE(D1008)</f>
      </c>
      <c r="H1008" t="str">
        <f>COUNTIF(Szamlaszamok!A:A,A1008)</f>
      </c>
      <c r="I1008" t="str">
        <f>SUMIFS(Szamlaszamok!E:E,Szamlaszamok!A:A,Szamlaszamok_nonduplicate!A1008)</f>
      </c>
    </row>
    <row r="1009" spans="1:9">
      <c r="A1009" t="s">
        <v>3788</v>
      </c>
      <c r="B1009" t="str">
        <f>VLOOKUP($A1009,Szamlaszamok!$A1008:F2564,2,FALSE)</f>
      </c>
      <c r="C1009" t="str">
        <f>VLOOKUP($A1009,Szamlaszamok!$A1008:F2564,3,FALSE)</f>
      </c>
      <c r="D1009" t="str">
        <f>VLOOKUP($A1009,Szamlaszamok!$A1008:F2564,4,FALSE)</f>
      </c>
      <c r="E1009" t="str">
        <f>DATE(YEAR(D1009),MONTH(D1009),DAY(D1009))</f>
      </c>
      <c r="F1009" t="str">
        <f>CONCATENATE(C1009,E1009)</f>
      </c>
      <c r="G1009" t="str">
        <f>TIMEVALUE(D1009)</f>
      </c>
      <c r="H1009" t="str">
        <f>COUNTIF(Szamlaszamok!A:A,A1009)</f>
      </c>
      <c r="I1009" t="str">
        <f>SUMIFS(Szamlaszamok!E:E,Szamlaszamok!A:A,Szamlaszamok_nonduplicate!A1009)</f>
      </c>
    </row>
    <row r="1010" spans="1:9">
      <c r="A1010" t="s">
        <v>3792</v>
      </c>
      <c r="B1010" t="str">
        <f>VLOOKUP($A1010,Szamlaszamok!$A1009:F2565,2,FALSE)</f>
      </c>
      <c r="C1010" t="str">
        <f>VLOOKUP($A1010,Szamlaszamok!$A1009:F2565,3,FALSE)</f>
      </c>
      <c r="D1010" t="str">
        <f>VLOOKUP($A1010,Szamlaszamok!$A1009:F2565,4,FALSE)</f>
      </c>
      <c r="E1010" t="str">
        <f>DATE(YEAR(D1010),MONTH(D1010),DAY(D1010))</f>
      </c>
      <c r="F1010" t="str">
        <f>CONCATENATE(C1010,E1010)</f>
      </c>
      <c r="G1010" t="str">
        <f>TIMEVALUE(D1010)</f>
      </c>
      <c r="H1010" t="str">
        <f>COUNTIF(Szamlaszamok!A:A,A1010)</f>
      </c>
      <c r="I1010" t="str">
        <f>SUMIFS(Szamlaszamok!E:E,Szamlaszamok!A:A,Szamlaszamok_nonduplicate!A1010)</f>
      </c>
    </row>
    <row r="1011" spans="1:9">
      <c r="A1011" t="s">
        <v>3795</v>
      </c>
      <c r="B1011" t="str">
        <f>VLOOKUP($A1011,Szamlaszamok!$A1010:F2566,2,FALSE)</f>
      </c>
      <c r="C1011" t="str">
        <f>VLOOKUP($A1011,Szamlaszamok!$A1010:F2566,3,FALSE)</f>
      </c>
      <c r="D1011" t="str">
        <f>VLOOKUP($A1011,Szamlaszamok!$A1010:F2566,4,FALSE)</f>
      </c>
      <c r="E1011" t="str">
        <f>DATE(YEAR(D1011),MONTH(D1011),DAY(D1011))</f>
      </c>
      <c r="F1011" t="str">
        <f>CONCATENATE(C1011,E1011)</f>
      </c>
      <c r="G1011" t="str">
        <f>TIMEVALUE(D1011)</f>
      </c>
      <c r="H1011" t="str">
        <f>COUNTIF(Szamlaszamok!A:A,A1011)</f>
      </c>
      <c r="I1011" t="str">
        <f>SUMIFS(Szamlaszamok!E:E,Szamlaszamok!A:A,Szamlaszamok_nonduplicate!A1011)</f>
      </c>
    </row>
    <row r="1012" spans="1:9">
      <c r="A1012" t="s">
        <v>3799</v>
      </c>
      <c r="B1012" t="str">
        <f>VLOOKUP($A1012,Szamlaszamok!$A1011:F2567,2,FALSE)</f>
      </c>
      <c r="C1012" t="str">
        <f>VLOOKUP($A1012,Szamlaszamok!$A1011:F2567,3,FALSE)</f>
      </c>
      <c r="D1012" t="str">
        <f>VLOOKUP($A1012,Szamlaszamok!$A1011:F2567,4,FALSE)</f>
      </c>
      <c r="E1012" t="str">
        <f>DATE(YEAR(D1012),MONTH(D1012),DAY(D1012))</f>
      </c>
      <c r="F1012" t="str">
        <f>CONCATENATE(C1012,E1012)</f>
      </c>
      <c r="G1012" t="str">
        <f>TIMEVALUE(D1012)</f>
      </c>
      <c r="H1012" t="str">
        <f>COUNTIF(Szamlaszamok!A:A,A1012)</f>
      </c>
      <c r="I1012" t="str">
        <f>SUMIFS(Szamlaszamok!E:E,Szamlaszamok!A:A,Szamlaszamok_nonduplicate!A1012)</f>
      </c>
    </row>
    <row r="1013" spans="1:9">
      <c r="A1013" t="s">
        <v>3802</v>
      </c>
      <c r="B1013" t="str">
        <f>VLOOKUP($A1013,Szamlaszamok!$A1012:F2568,2,FALSE)</f>
      </c>
      <c r="C1013" t="str">
        <f>VLOOKUP($A1013,Szamlaszamok!$A1012:F2568,3,FALSE)</f>
      </c>
      <c r="D1013" t="str">
        <f>VLOOKUP($A1013,Szamlaszamok!$A1012:F2568,4,FALSE)</f>
      </c>
      <c r="E1013" t="str">
        <f>DATE(YEAR(D1013),MONTH(D1013),DAY(D1013))</f>
      </c>
      <c r="F1013" t="str">
        <f>CONCATENATE(C1013,E1013)</f>
      </c>
      <c r="G1013" t="str">
        <f>TIMEVALUE(D1013)</f>
      </c>
      <c r="H1013" t="str">
        <f>COUNTIF(Szamlaszamok!A:A,A1013)</f>
      </c>
      <c r="I1013" t="str">
        <f>SUMIFS(Szamlaszamok!E:E,Szamlaszamok!A:A,Szamlaszamok_nonduplicate!A1013)</f>
      </c>
    </row>
    <row r="1014" spans="1:9">
      <c r="A1014" t="s">
        <v>3806</v>
      </c>
      <c r="B1014" t="str">
        <f>VLOOKUP($A1014,Szamlaszamok!$A1013:F2569,2,FALSE)</f>
      </c>
      <c r="C1014" t="str">
        <f>VLOOKUP($A1014,Szamlaszamok!$A1013:F2569,3,FALSE)</f>
      </c>
      <c r="D1014" t="str">
        <f>VLOOKUP($A1014,Szamlaszamok!$A1013:F2569,4,FALSE)</f>
      </c>
      <c r="E1014" t="str">
        <f>DATE(YEAR(D1014),MONTH(D1014),DAY(D1014))</f>
      </c>
      <c r="F1014" t="str">
        <f>CONCATENATE(C1014,E1014)</f>
      </c>
      <c r="G1014" t="str">
        <f>TIMEVALUE(D1014)</f>
      </c>
      <c r="H1014" t="str">
        <f>COUNTIF(Szamlaszamok!A:A,A1014)</f>
      </c>
      <c r="I1014" t="str">
        <f>SUMIFS(Szamlaszamok!E:E,Szamlaszamok!A:A,Szamlaszamok_nonduplicate!A1014)</f>
      </c>
    </row>
    <row r="1015" spans="1:9">
      <c r="A1015" t="s">
        <v>3810</v>
      </c>
      <c r="B1015" t="str">
        <f>VLOOKUP($A1015,Szamlaszamok!$A1014:F2570,2,FALSE)</f>
      </c>
      <c r="C1015" t="str">
        <f>VLOOKUP($A1015,Szamlaszamok!$A1014:F2570,3,FALSE)</f>
      </c>
      <c r="D1015" t="str">
        <f>VLOOKUP($A1015,Szamlaszamok!$A1014:F2570,4,FALSE)</f>
      </c>
      <c r="E1015" t="str">
        <f>DATE(YEAR(D1015),MONTH(D1015),DAY(D1015))</f>
      </c>
      <c r="F1015" t="str">
        <f>CONCATENATE(C1015,E1015)</f>
      </c>
      <c r="G1015" t="str">
        <f>TIMEVALUE(D1015)</f>
      </c>
      <c r="H1015" t="str">
        <f>COUNTIF(Szamlaszamok!A:A,A1015)</f>
      </c>
      <c r="I1015" t="str">
        <f>SUMIFS(Szamlaszamok!E:E,Szamlaszamok!A:A,Szamlaszamok_nonduplicate!A1015)</f>
      </c>
    </row>
    <row r="1016" spans="1:9">
      <c r="A1016" t="s">
        <v>3814</v>
      </c>
      <c r="B1016" t="str">
        <f>VLOOKUP($A1016,Szamlaszamok!$A1015:F2571,2,FALSE)</f>
      </c>
      <c r="C1016" t="str">
        <f>VLOOKUP($A1016,Szamlaszamok!$A1015:F2571,3,FALSE)</f>
      </c>
      <c r="D1016" t="str">
        <f>VLOOKUP($A1016,Szamlaszamok!$A1015:F2571,4,FALSE)</f>
      </c>
      <c r="E1016" t="str">
        <f>DATE(YEAR(D1016),MONTH(D1016),DAY(D1016))</f>
      </c>
      <c r="F1016" t="str">
        <f>CONCATENATE(C1016,E1016)</f>
      </c>
      <c r="G1016" t="str">
        <f>TIMEVALUE(D1016)</f>
      </c>
      <c r="H1016" t="str">
        <f>COUNTIF(Szamlaszamok!A:A,A1016)</f>
      </c>
      <c r="I1016" t="str">
        <f>SUMIFS(Szamlaszamok!E:E,Szamlaszamok!A:A,Szamlaszamok_nonduplicate!A1016)</f>
      </c>
    </row>
    <row r="1017" spans="1:9">
      <c r="A1017" t="s">
        <v>3817</v>
      </c>
      <c r="B1017" t="str">
        <f>VLOOKUP($A1017,Szamlaszamok!$A1016:F2572,2,FALSE)</f>
      </c>
      <c r="C1017" t="str">
        <f>VLOOKUP($A1017,Szamlaszamok!$A1016:F2572,3,FALSE)</f>
      </c>
      <c r="D1017" t="str">
        <f>VLOOKUP($A1017,Szamlaszamok!$A1016:F2572,4,FALSE)</f>
      </c>
      <c r="E1017" t="str">
        <f>DATE(YEAR(D1017),MONTH(D1017),DAY(D1017))</f>
      </c>
      <c r="F1017" t="str">
        <f>CONCATENATE(C1017,E1017)</f>
      </c>
      <c r="G1017" t="str">
        <f>TIMEVALUE(D1017)</f>
      </c>
      <c r="H1017" t="str">
        <f>COUNTIF(Szamlaszamok!A:A,A1017)</f>
      </c>
      <c r="I1017" t="str">
        <f>SUMIFS(Szamlaszamok!E:E,Szamlaszamok!A:A,Szamlaszamok_nonduplicate!A1017)</f>
      </c>
    </row>
    <row r="1018" spans="1:9">
      <c r="A1018" t="s">
        <v>3820</v>
      </c>
      <c r="B1018" t="str">
        <f>VLOOKUP($A1018,Szamlaszamok!$A1017:F2573,2,FALSE)</f>
      </c>
      <c r="C1018" t="str">
        <f>VLOOKUP($A1018,Szamlaszamok!$A1017:F2573,3,FALSE)</f>
      </c>
      <c r="D1018" t="str">
        <f>VLOOKUP($A1018,Szamlaszamok!$A1017:F2573,4,FALSE)</f>
      </c>
      <c r="E1018" t="str">
        <f>DATE(YEAR(D1018),MONTH(D1018),DAY(D1018))</f>
      </c>
      <c r="F1018" t="str">
        <f>CONCATENATE(C1018,E1018)</f>
      </c>
      <c r="G1018" t="str">
        <f>TIMEVALUE(D1018)</f>
      </c>
      <c r="H1018" t="str">
        <f>COUNTIF(Szamlaszamok!A:A,A1018)</f>
      </c>
      <c r="I1018" t="str">
        <f>SUMIFS(Szamlaszamok!E:E,Szamlaszamok!A:A,Szamlaszamok_nonduplicate!A1018)</f>
      </c>
    </row>
    <row r="1019" spans="1:9">
      <c r="A1019" t="s">
        <v>3823</v>
      </c>
      <c r="B1019" t="str">
        <f>VLOOKUP($A1019,Szamlaszamok!$A1018:F2574,2,FALSE)</f>
      </c>
      <c r="C1019" t="str">
        <f>VLOOKUP($A1019,Szamlaszamok!$A1018:F2574,3,FALSE)</f>
      </c>
      <c r="D1019" t="str">
        <f>VLOOKUP($A1019,Szamlaszamok!$A1018:F2574,4,FALSE)</f>
      </c>
      <c r="E1019" t="str">
        <f>DATE(YEAR(D1019),MONTH(D1019),DAY(D1019))</f>
      </c>
      <c r="F1019" t="str">
        <f>CONCATENATE(C1019,E1019)</f>
      </c>
      <c r="G1019" t="str">
        <f>TIMEVALUE(D1019)</f>
      </c>
      <c r="H1019" t="str">
        <f>COUNTIF(Szamlaszamok!A:A,A1019)</f>
      </c>
      <c r="I1019" t="str">
        <f>SUMIFS(Szamlaszamok!E:E,Szamlaszamok!A:A,Szamlaszamok_nonduplicate!A1019)</f>
      </c>
    </row>
    <row r="1020" spans="1:9">
      <c r="A1020" t="s">
        <v>3827</v>
      </c>
      <c r="B1020" t="str">
        <f>VLOOKUP($A1020,Szamlaszamok!$A1019:F2575,2,FALSE)</f>
      </c>
      <c r="C1020" t="str">
        <f>VLOOKUP($A1020,Szamlaszamok!$A1019:F2575,3,FALSE)</f>
      </c>
      <c r="D1020" t="str">
        <f>VLOOKUP($A1020,Szamlaszamok!$A1019:F2575,4,FALSE)</f>
      </c>
      <c r="E1020" t="str">
        <f>DATE(YEAR(D1020),MONTH(D1020),DAY(D1020))</f>
      </c>
      <c r="F1020" t="str">
        <f>CONCATENATE(C1020,E1020)</f>
      </c>
      <c r="G1020" t="str">
        <f>TIMEVALUE(D1020)</f>
      </c>
      <c r="H1020" t="str">
        <f>COUNTIF(Szamlaszamok!A:A,A1020)</f>
      </c>
      <c r="I1020" t="str">
        <f>SUMIFS(Szamlaszamok!E:E,Szamlaszamok!A:A,Szamlaszamok_nonduplicate!A1020)</f>
      </c>
    </row>
    <row r="1021" spans="1:9">
      <c r="A1021" t="s">
        <v>3829</v>
      </c>
      <c r="B1021" t="str">
        <f>VLOOKUP($A1021,Szamlaszamok!$A1020:F2576,2,FALSE)</f>
      </c>
      <c r="C1021" t="str">
        <f>VLOOKUP($A1021,Szamlaszamok!$A1020:F2576,3,FALSE)</f>
      </c>
      <c r="D1021" t="str">
        <f>VLOOKUP($A1021,Szamlaszamok!$A1020:F2576,4,FALSE)</f>
      </c>
      <c r="E1021" t="str">
        <f>DATE(YEAR(D1021),MONTH(D1021),DAY(D1021))</f>
      </c>
      <c r="F1021" t="str">
        <f>CONCATENATE(C1021,E1021)</f>
      </c>
      <c r="G1021" t="str">
        <f>TIMEVALUE(D1021)</f>
      </c>
      <c r="H1021" t="str">
        <f>COUNTIF(Szamlaszamok!A:A,A1021)</f>
      </c>
      <c r="I1021" t="str">
        <f>SUMIFS(Szamlaszamok!E:E,Szamlaszamok!A:A,Szamlaszamok_nonduplicate!A1021)</f>
      </c>
    </row>
    <row r="1022" spans="1:9">
      <c r="A1022" t="s">
        <v>3832</v>
      </c>
      <c r="B1022" t="str">
        <f>VLOOKUP($A1022,Szamlaszamok!$A1021:F2577,2,FALSE)</f>
      </c>
      <c r="C1022" t="str">
        <f>VLOOKUP($A1022,Szamlaszamok!$A1021:F2577,3,FALSE)</f>
      </c>
      <c r="D1022" t="str">
        <f>VLOOKUP($A1022,Szamlaszamok!$A1021:F2577,4,FALSE)</f>
      </c>
      <c r="E1022" t="str">
        <f>DATE(YEAR(D1022),MONTH(D1022),DAY(D1022))</f>
      </c>
      <c r="F1022" t="str">
        <f>CONCATENATE(C1022,E1022)</f>
      </c>
      <c r="G1022" t="str">
        <f>TIMEVALUE(D1022)</f>
      </c>
      <c r="H1022" t="str">
        <f>COUNTIF(Szamlaszamok!A:A,A1022)</f>
      </c>
      <c r="I1022" t="str">
        <f>SUMIFS(Szamlaszamok!E:E,Szamlaszamok!A:A,Szamlaszamok_nonduplicate!A1022)</f>
      </c>
    </row>
    <row r="1023" spans="1:9">
      <c r="A1023" t="s">
        <v>3836</v>
      </c>
      <c r="B1023" t="str">
        <f>VLOOKUP($A1023,Szamlaszamok!$A1022:F2578,2,FALSE)</f>
      </c>
      <c r="C1023" t="str">
        <f>VLOOKUP($A1023,Szamlaszamok!$A1022:F2578,3,FALSE)</f>
      </c>
      <c r="D1023" t="str">
        <f>VLOOKUP($A1023,Szamlaszamok!$A1022:F2578,4,FALSE)</f>
      </c>
      <c r="E1023" t="str">
        <f>DATE(YEAR(D1023),MONTH(D1023),DAY(D1023))</f>
      </c>
      <c r="F1023" t="str">
        <f>CONCATENATE(C1023,E1023)</f>
      </c>
      <c r="G1023" t="str">
        <f>TIMEVALUE(D1023)</f>
      </c>
      <c r="H1023" t="str">
        <f>COUNTIF(Szamlaszamok!A:A,A1023)</f>
      </c>
      <c r="I1023" t="str">
        <f>SUMIFS(Szamlaszamok!E:E,Szamlaszamok!A:A,Szamlaszamok_nonduplicate!A1023)</f>
      </c>
    </row>
    <row r="1024" spans="1:9">
      <c r="A1024" t="s">
        <v>3839</v>
      </c>
      <c r="B1024" t="str">
        <f>VLOOKUP($A1024,Szamlaszamok!$A1023:F2579,2,FALSE)</f>
      </c>
      <c r="C1024" t="str">
        <f>VLOOKUP($A1024,Szamlaszamok!$A1023:F2579,3,FALSE)</f>
      </c>
      <c r="D1024" t="str">
        <f>VLOOKUP($A1024,Szamlaszamok!$A1023:F2579,4,FALSE)</f>
      </c>
      <c r="E1024" t="str">
        <f>DATE(YEAR(D1024),MONTH(D1024),DAY(D1024))</f>
      </c>
      <c r="F1024" t="str">
        <f>CONCATENATE(C1024,E1024)</f>
      </c>
      <c r="G1024" t="str">
        <f>TIMEVALUE(D1024)</f>
      </c>
      <c r="H1024" t="str">
        <f>COUNTIF(Szamlaszamok!A:A,A1024)</f>
      </c>
      <c r="I1024" t="str">
        <f>SUMIFS(Szamlaszamok!E:E,Szamlaszamok!A:A,Szamlaszamok_nonduplicate!A1024)</f>
      </c>
    </row>
    <row r="1025" spans="1:9">
      <c r="A1025" t="s">
        <v>3842</v>
      </c>
      <c r="B1025" t="str">
        <f>VLOOKUP($A1025,Szamlaszamok!$A1024:F2580,2,FALSE)</f>
      </c>
      <c r="C1025" t="str">
        <f>VLOOKUP($A1025,Szamlaszamok!$A1024:F2580,3,FALSE)</f>
      </c>
      <c r="D1025" t="str">
        <f>VLOOKUP($A1025,Szamlaszamok!$A1024:F2580,4,FALSE)</f>
      </c>
      <c r="E1025" t="str">
        <f>DATE(YEAR(D1025),MONTH(D1025),DAY(D1025))</f>
      </c>
      <c r="F1025" t="str">
        <f>CONCATENATE(C1025,E1025)</f>
      </c>
      <c r="G1025" t="str">
        <f>TIMEVALUE(D1025)</f>
      </c>
      <c r="H1025" t="str">
        <f>COUNTIF(Szamlaszamok!A:A,A1025)</f>
      </c>
      <c r="I1025" t="str">
        <f>SUMIFS(Szamlaszamok!E:E,Szamlaszamok!A:A,Szamlaszamok_nonduplicate!A1025)</f>
      </c>
    </row>
    <row r="1026" spans="1:9">
      <c r="A1026" t="s">
        <v>3845</v>
      </c>
      <c r="B1026" t="str">
        <f>VLOOKUP($A1026,Szamlaszamok!$A1025:F2581,2,FALSE)</f>
      </c>
      <c r="C1026" t="str">
        <f>VLOOKUP($A1026,Szamlaszamok!$A1025:F2581,3,FALSE)</f>
      </c>
      <c r="D1026" t="str">
        <f>VLOOKUP($A1026,Szamlaszamok!$A1025:F2581,4,FALSE)</f>
      </c>
      <c r="E1026" t="str">
        <f>DATE(YEAR(D1026),MONTH(D1026),DAY(D1026))</f>
      </c>
      <c r="F1026" t="str">
        <f>CONCATENATE(C1026,E1026)</f>
      </c>
      <c r="G1026" t="str">
        <f>TIMEVALUE(D1026)</f>
      </c>
      <c r="H1026" t="str">
        <f>COUNTIF(Szamlaszamok!A:A,A1026)</f>
      </c>
      <c r="I1026" t="str">
        <f>SUMIFS(Szamlaszamok!E:E,Szamlaszamok!A:A,Szamlaszamok_nonduplicate!A1026)</f>
      </c>
    </row>
    <row r="1027" spans="1:9">
      <c r="A1027" t="s">
        <v>3849</v>
      </c>
      <c r="B1027" t="str">
        <f>VLOOKUP($A1027,Szamlaszamok!$A1026:F2582,2,FALSE)</f>
      </c>
      <c r="C1027" t="str">
        <f>VLOOKUP($A1027,Szamlaszamok!$A1026:F2582,3,FALSE)</f>
      </c>
      <c r="D1027" t="str">
        <f>VLOOKUP($A1027,Szamlaszamok!$A1026:F2582,4,FALSE)</f>
      </c>
      <c r="E1027" t="str">
        <f>DATE(YEAR(D1027),MONTH(D1027),DAY(D1027))</f>
      </c>
      <c r="F1027" t="str">
        <f>CONCATENATE(C1027,E1027)</f>
      </c>
      <c r="G1027" t="str">
        <f>TIMEVALUE(D1027)</f>
      </c>
      <c r="H1027" t="str">
        <f>COUNTIF(Szamlaszamok!A:A,A1027)</f>
      </c>
      <c r="I1027" t="str">
        <f>SUMIFS(Szamlaszamok!E:E,Szamlaszamok!A:A,Szamlaszamok_nonduplicate!A1027)</f>
      </c>
    </row>
    <row r="1028" spans="1:9">
      <c r="A1028" t="s">
        <v>3852</v>
      </c>
      <c r="B1028" t="str">
        <f>VLOOKUP($A1028,Szamlaszamok!$A1027:F2583,2,FALSE)</f>
      </c>
      <c r="C1028" t="str">
        <f>VLOOKUP($A1028,Szamlaszamok!$A1027:F2583,3,FALSE)</f>
      </c>
      <c r="D1028" t="str">
        <f>VLOOKUP($A1028,Szamlaszamok!$A1027:F2583,4,FALSE)</f>
      </c>
      <c r="E1028" t="str">
        <f>DATE(YEAR(D1028),MONTH(D1028),DAY(D1028))</f>
      </c>
      <c r="F1028" t="str">
        <f>CONCATENATE(C1028,E1028)</f>
      </c>
      <c r="G1028" t="str">
        <f>TIMEVALUE(D1028)</f>
      </c>
      <c r="H1028" t="str">
        <f>COUNTIF(Szamlaszamok!A:A,A1028)</f>
      </c>
      <c r="I1028" t="str">
        <f>SUMIFS(Szamlaszamok!E:E,Szamlaszamok!A:A,Szamlaszamok_nonduplicate!A1028)</f>
      </c>
    </row>
    <row r="1029" spans="1:9">
      <c r="A1029" t="s">
        <v>3856</v>
      </c>
      <c r="B1029" t="str">
        <f>VLOOKUP($A1029,Szamlaszamok!$A1028:F2584,2,FALSE)</f>
      </c>
      <c r="C1029" t="str">
        <f>VLOOKUP($A1029,Szamlaszamok!$A1028:F2584,3,FALSE)</f>
      </c>
      <c r="D1029" t="str">
        <f>VLOOKUP($A1029,Szamlaszamok!$A1028:F2584,4,FALSE)</f>
      </c>
      <c r="E1029" t="str">
        <f>DATE(YEAR(D1029),MONTH(D1029),DAY(D1029))</f>
      </c>
      <c r="F1029" t="str">
        <f>CONCATENATE(C1029,E1029)</f>
      </c>
      <c r="G1029" t="str">
        <f>TIMEVALUE(D1029)</f>
      </c>
      <c r="H1029" t="str">
        <f>COUNTIF(Szamlaszamok!A:A,A1029)</f>
      </c>
      <c r="I1029" t="str">
        <f>SUMIFS(Szamlaszamok!E:E,Szamlaszamok!A:A,Szamlaszamok_nonduplicate!A1029)</f>
      </c>
    </row>
    <row r="1030" spans="1:9">
      <c r="A1030" t="s">
        <v>3860</v>
      </c>
      <c r="B1030" t="str">
        <f>VLOOKUP($A1030,Szamlaszamok!$A1029:F2585,2,FALSE)</f>
      </c>
      <c r="C1030" t="str">
        <f>VLOOKUP($A1030,Szamlaszamok!$A1029:F2585,3,FALSE)</f>
      </c>
      <c r="D1030" t="str">
        <f>VLOOKUP($A1030,Szamlaszamok!$A1029:F2585,4,FALSE)</f>
      </c>
      <c r="E1030" t="str">
        <f>DATE(YEAR(D1030),MONTH(D1030),DAY(D1030))</f>
      </c>
      <c r="F1030" t="str">
        <f>CONCATENATE(C1030,E1030)</f>
      </c>
      <c r="G1030" t="str">
        <f>TIMEVALUE(D1030)</f>
      </c>
      <c r="H1030" t="str">
        <f>COUNTIF(Szamlaszamok!A:A,A1030)</f>
      </c>
      <c r="I1030" t="str">
        <f>SUMIFS(Szamlaszamok!E:E,Szamlaszamok!A:A,Szamlaszamok_nonduplicate!A1030)</f>
      </c>
    </row>
    <row r="1031" spans="1:9">
      <c r="A1031" t="s">
        <v>3862</v>
      </c>
      <c r="B1031" t="str">
        <f>VLOOKUP($A1031,Szamlaszamok!$A1030:F2586,2,FALSE)</f>
      </c>
      <c r="C1031" t="str">
        <f>VLOOKUP($A1031,Szamlaszamok!$A1030:F2586,3,FALSE)</f>
      </c>
      <c r="D1031" t="str">
        <f>VLOOKUP($A1031,Szamlaszamok!$A1030:F2586,4,FALSE)</f>
      </c>
      <c r="E1031" t="str">
        <f>DATE(YEAR(D1031),MONTH(D1031),DAY(D1031))</f>
      </c>
      <c r="F1031" t="str">
        <f>CONCATENATE(C1031,E1031)</f>
      </c>
      <c r="G1031" t="str">
        <f>TIMEVALUE(D1031)</f>
      </c>
      <c r="H1031" t="str">
        <f>COUNTIF(Szamlaszamok!A:A,A1031)</f>
      </c>
      <c r="I1031" t="str">
        <f>SUMIFS(Szamlaszamok!E:E,Szamlaszamok!A:A,Szamlaszamok_nonduplicate!A1031)</f>
      </c>
    </row>
    <row r="1032" spans="1:9">
      <c r="A1032" t="s">
        <v>3865</v>
      </c>
      <c r="B1032" t="str">
        <f>VLOOKUP($A1032,Szamlaszamok!$A1031:F2587,2,FALSE)</f>
      </c>
      <c r="C1032" t="str">
        <f>VLOOKUP($A1032,Szamlaszamok!$A1031:F2587,3,FALSE)</f>
      </c>
      <c r="D1032" t="str">
        <f>VLOOKUP($A1032,Szamlaszamok!$A1031:F2587,4,FALSE)</f>
      </c>
      <c r="E1032" t="str">
        <f>DATE(YEAR(D1032),MONTH(D1032),DAY(D1032))</f>
      </c>
      <c r="F1032" t="str">
        <f>CONCATENATE(C1032,E1032)</f>
      </c>
      <c r="G1032" t="str">
        <f>TIMEVALUE(D1032)</f>
      </c>
      <c r="H1032" t="str">
        <f>COUNTIF(Szamlaszamok!A:A,A1032)</f>
      </c>
      <c r="I1032" t="str">
        <f>SUMIFS(Szamlaszamok!E:E,Szamlaszamok!A:A,Szamlaszamok_nonduplicate!A1032)</f>
      </c>
    </row>
    <row r="1033" spans="1:9">
      <c r="A1033" t="s">
        <v>3869</v>
      </c>
      <c r="B1033" t="str">
        <f>VLOOKUP($A1033,Szamlaszamok!$A1032:F2588,2,FALSE)</f>
      </c>
      <c r="C1033" t="str">
        <f>VLOOKUP($A1033,Szamlaszamok!$A1032:F2588,3,FALSE)</f>
      </c>
      <c r="D1033" t="str">
        <f>VLOOKUP($A1033,Szamlaszamok!$A1032:F2588,4,FALSE)</f>
      </c>
      <c r="E1033" t="str">
        <f>DATE(YEAR(D1033),MONTH(D1033),DAY(D1033))</f>
      </c>
      <c r="F1033" t="str">
        <f>CONCATENATE(C1033,E1033)</f>
      </c>
      <c r="G1033" t="str">
        <f>TIMEVALUE(D1033)</f>
      </c>
      <c r="H1033" t="str">
        <f>COUNTIF(Szamlaszamok!A:A,A1033)</f>
      </c>
      <c r="I1033" t="str">
        <f>SUMIFS(Szamlaszamok!E:E,Szamlaszamok!A:A,Szamlaszamok_nonduplicate!A1033)</f>
      </c>
    </row>
    <row r="1034" spans="1:9">
      <c r="A1034" t="s">
        <v>3873</v>
      </c>
      <c r="B1034" t="str">
        <f>VLOOKUP($A1034,Szamlaszamok!$A1033:F2589,2,FALSE)</f>
      </c>
      <c r="C1034" t="str">
        <f>VLOOKUP($A1034,Szamlaszamok!$A1033:F2589,3,FALSE)</f>
      </c>
      <c r="D1034" t="str">
        <f>VLOOKUP($A1034,Szamlaszamok!$A1033:F2589,4,FALSE)</f>
      </c>
      <c r="E1034" t="str">
        <f>DATE(YEAR(D1034),MONTH(D1034),DAY(D1034))</f>
      </c>
      <c r="F1034" t="str">
        <f>CONCATENATE(C1034,E1034)</f>
      </c>
      <c r="G1034" t="str">
        <f>TIMEVALUE(D1034)</f>
      </c>
      <c r="H1034" t="str">
        <f>COUNTIF(Szamlaszamok!A:A,A1034)</f>
      </c>
      <c r="I1034" t="str">
        <f>SUMIFS(Szamlaszamok!E:E,Szamlaszamok!A:A,Szamlaszamok_nonduplicate!A1034)</f>
      </c>
    </row>
    <row r="1035" spans="1:9">
      <c r="A1035" t="s">
        <v>3876</v>
      </c>
      <c r="B1035" t="str">
        <f>VLOOKUP($A1035,Szamlaszamok!$A1034:F2590,2,FALSE)</f>
      </c>
      <c r="C1035" t="str">
        <f>VLOOKUP($A1035,Szamlaszamok!$A1034:F2590,3,FALSE)</f>
      </c>
      <c r="D1035" t="str">
        <f>VLOOKUP($A1035,Szamlaszamok!$A1034:F2590,4,FALSE)</f>
      </c>
      <c r="E1035" t="str">
        <f>DATE(YEAR(D1035),MONTH(D1035),DAY(D1035))</f>
      </c>
      <c r="F1035" t="str">
        <f>CONCATENATE(C1035,E1035)</f>
      </c>
      <c r="G1035" t="str">
        <f>TIMEVALUE(D1035)</f>
      </c>
      <c r="H1035" t="str">
        <f>COUNTIF(Szamlaszamok!A:A,A1035)</f>
      </c>
      <c r="I1035" t="str">
        <f>SUMIFS(Szamlaszamok!E:E,Szamlaszamok!A:A,Szamlaszamok_nonduplicate!A1035)</f>
      </c>
    </row>
    <row r="1036" spans="1:9">
      <c r="A1036" t="s">
        <v>3879</v>
      </c>
      <c r="B1036" t="str">
        <f>VLOOKUP($A1036,Szamlaszamok!$A1035:F2591,2,FALSE)</f>
      </c>
      <c r="C1036" t="str">
        <f>VLOOKUP($A1036,Szamlaszamok!$A1035:F2591,3,FALSE)</f>
      </c>
      <c r="D1036" t="str">
        <f>VLOOKUP($A1036,Szamlaszamok!$A1035:F2591,4,FALSE)</f>
      </c>
      <c r="E1036" t="str">
        <f>DATE(YEAR(D1036),MONTH(D1036),DAY(D1036))</f>
      </c>
      <c r="F1036" t="str">
        <f>CONCATENATE(C1036,E1036)</f>
      </c>
      <c r="G1036" t="str">
        <f>TIMEVALUE(D1036)</f>
      </c>
      <c r="H1036" t="str">
        <f>COUNTIF(Szamlaszamok!A:A,A1036)</f>
      </c>
      <c r="I1036" t="str">
        <f>SUMIFS(Szamlaszamok!E:E,Szamlaszamok!A:A,Szamlaszamok_nonduplicate!A1036)</f>
      </c>
    </row>
    <row r="1037" spans="1:9">
      <c r="A1037" t="s">
        <v>3882</v>
      </c>
      <c r="B1037" t="str">
        <f>VLOOKUP($A1037,Szamlaszamok!$A1036:F2592,2,FALSE)</f>
      </c>
      <c r="C1037" t="str">
        <f>VLOOKUP($A1037,Szamlaszamok!$A1036:F2592,3,FALSE)</f>
      </c>
      <c r="D1037" t="str">
        <f>VLOOKUP($A1037,Szamlaszamok!$A1036:F2592,4,FALSE)</f>
      </c>
      <c r="E1037" t="str">
        <f>DATE(YEAR(D1037),MONTH(D1037),DAY(D1037))</f>
      </c>
      <c r="F1037" t="str">
        <f>CONCATENATE(C1037,E1037)</f>
      </c>
      <c r="G1037" t="str">
        <f>TIMEVALUE(D1037)</f>
      </c>
      <c r="H1037" t="str">
        <f>COUNTIF(Szamlaszamok!A:A,A1037)</f>
      </c>
      <c r="I1037" t="str">
        <f>SUMIFS(Szamlaszamok!E:E,Szamlaszamok!A:A,Szamlaszamok_nonduplicate!A1037)</f>
      </c>
    </row>
    <row r="1038" spans="1:9">
      <c r="A1038" t="s">
        <v>3886</v>
      </c>
      <c r="B1038" t="str">
        <f>VLOOKUP($A1038,Szamlaszamok!$A1037:F2593,2,FALSE)</f>
      </c>
      <c r="C1038" t="str">
        <f>VLOOKUP($A1038,Szamlaszamok!$A1037:F2593,3,FALSE)</f>
      </c>
      <c r="D1038" t="str">
        <f>VLOOKUP($A1038,Szamlaszamok!$A1037:F2593,4,FALSE)</f>
      </c>
      <c r="E1038" t="str">
        <f>DATE(YEAR(D1038),MONTH(D1038),DAY(D1038))</f>
      </c>
      <c r="F1038" t="str">
        <f>CONCATENATE(C1038,E1038)</f>
      </c>
      <c r="G1038" t="str">
        <f>TIMEVALUE(D1038)</f>
      </c>
      <c r="H1038" t="str">
        <f>COUNTIF(Szamlaszamok!A:A,A1038)</f>
      </c>
      <c r="I1038" t="str">
        <f>SUMIFS(Szamlaszamok!E:E,Szamlaszamok!A:A,Szamlaszamok_nonduplicate!A1038)</f>
      </c>
    </row>
    <row r="1039" spans="1:9">
      <c r="A1039" t="s">
        <v>3889</v>
      </c>
      <c r="B1039" t="str">
        <f>VLOOKUP($A1039,Szamlaszamok!$A1038:F2594,2,FALSE)</f>
      </c>
      <c r="C1039" t="str">
        <f>VLOOKUP($A1039,Szamlaszamok!$A1038:F2594,3,FALSE)</f>
      </c>
      <c r="D1039" t="str">
        <f>VLOOKUP($A1039,Szamlaszamok!$A1038:F2594,4,FALSE)</f>
      </c>
      <c r="E1039" t="str">
        <f>DATE(YEAR(D1039),MONTH(D1039),DAY(D1039))</f>
      </c>
      <c r="F1039" t="str">
        <f>CONCATENATE(C1039,E1039)</f>
      </c>
      <c r="G1039" t="str">
        <f>TIMEVALUE(D1039)</f>
      </c>
      <c r="H1039" t="str">
        <f>COUNTIF(Szamlaszamok!A:A,A1039)</f>
      </c>
      <c r="I1039" t="str">
        <f>SUMIFS(Szamlaszamok!E:E,Szamlaszamok!A:A,Szamlaszamok_nonduplicate!A1039)</f>
      </c>
    </row>
    <row r="1040" spans="1:9">
      <c r="A1040" t="s">
        <v>3891</v>
      </c>
      <c r="B1040" t="str">
        <f>VLOOKUP($A1040,Szamlaszamok!$A1039:F2595,2,FALSE)</f>
      </c>
      <c r="C1040" t="str">
        <f>VLOOKUP($A1040,Szamlaszamok!$A1039:F2595,3,FALSE)</f>
      </c>
      <c r="D1040" t="str">
        <f>VLOOKUP($A1040,Szamlaszamok!$A1039:F2595,4,FALSE)</f>
      </c>
      <c r="E1040" t="str">
        <f>DATE(YEAR(D1040),MONTH(D1040),DAY(D1040))</f>
      </c>
      <c r="F1040" t="str">
        <f>CONCATENATE(C1040,E1040)</f>
      </c>
      <c r="G1040" t="str">
        <f>TIMEVALUE(D1040)</f>
      </c>
      <c r="H1040" t="str">
        <f>COUNTIF(Szamlaszamok!A:A,A1040)</f>
      </c>
      <c r="I1040" t="str">
        <f>SUMIFS(Szamlaszamok!E:E,Szamlaszamok!A:A,Szamlaszamok_nonduplicate!A1040)</f>
      </c>
    </row>
    <row r="1041" spans="1:9">
      <c r="A1041" t="s">
        <v>3895</v>
      </c>
      <c r="B1041" t="str">
        <f>VLOOKUP($A1041,Szamlaszamok!$A1040:F2596,2,FALSE)</f>
      </c>
      <c r="C1041" t="str">
        <f>VLOOKUP($A1041,Szamlaszamok!$A1040:F2596,3,FALSE)</f>
      </c>
      <c r="D1041" t="str">
        <f>VLOOKUP($A1041,Szamlaszamok!$A1040:F2596,4,FALSE)</f>
      </c>
      <c r="E1041" t="str">
        <f>DATE(YEAR(D1041),MONTH(D1041),DAY(D1041))</f>
      </c>
      <c r="F1041" t="str">
        <f>CONCATENATE(C1041,E1041)</f>
      </c>
      <c r="G1041" t="str">
        <f>TIMEVALUE(D1041)</f>
      </c>
      <c r="H1041" t="str">
        <f>COUNTIF(Szamlaszamok!A:A,A1041)</f>
      </c>
      <c r="I1041" t="str">
        <f>SUMIFS(Szamlaszamok!E:E,Szamlaszamok!A:A,Szamlaszamok_nonduplicate!A1041)</f>
      </c>
    </row>
    <row r="1042" spans="1:9">
      <c r="A1042" t="s">
        <v>3899</v>
      </c>
      <c r="B1042" t="str">
        <f>VLOOKUP($A1042,Szamlaszamok!$A1041:F2597,2,FALSE)</f>
      </c>
      <c r="C1042" t="str">
        <f>VLOOKUP($A1042,Szamlaszamok!$A1041:F2597,3,FALSE)</f>
      </c>
      <c r="D1042" t="str">
        <f>VLOOKUP($A1042,Szamlaszamok!$A1041:F2597,4,FALSE)</f>
      </c>
      <c r="E1042" t="str">
        <f>DATE(YEAR(D1042),MONTH(D1042),DAY(D1042))</f>
      </c>
      <c r="F1042" t="str">
        <f>CONCATENATE(C1042,E1042)</f>
      </c>
      <c r="G1042" t="str">
        <f>TIMEVALUE(D1042)</f>
      </c>
      <c r="H1042" t="str">
        <f>COUNTIF(Szamlaszamok!A:A,A1042)</f>
      </c>
      <c r="I1042" t="str">
        <f>SUMIFS(Szamlaszamok!E:E,Szamlaszamok!A:A,Szamlaszamok_nonduplicate!A1042)</f>
      </c>
    </row>
    <row r="1043" spans="1:9">
      <c r="A1043" t="s">
        <v>3902</v>
      </c>
      <c r="B1043" t="str">
        <f>VLOOKUP($A1043,Szamlaszamok!$A1042:F2598,2,FALSE)</f>
      </c>
      <c r="C1043" t="str">
        <f>VLOOKUP($A1043,Szamlaszamok!$A1042:F2598,3,FALSE)</f>
      </c>
      <c r="D1043" t="str">
        <f>VLOOKUP($A1043,Szamlaszamok!$A1042:F2598,4,FALSE)</f>
      </c>
      <c r="E1043" t="str">
        <f>DATE(YEAR(D1043),MONTH(D1043),DAY(D1043))</f>
      </c>
      <c r="F1043" t="str">
        <f>CONCATENATE(C1043,E1043)</f>
      </c>
      <c r="G1043" t="str">
        <f>TIMEVALUE(D1043)</f>
      </c>
      <c r="H1043" t="str">
        <f>COUNTIF(Szamlaszamok!A:A,A1043)</f>
      </c>
      <c r="I1043" t="str">
        <f>SUMIFS(Szamlaszamok!E:E,Szamlaszamok!A:A,Szamlaszamok_nonduplicate!A1043)</f>
      </c>
    </row>
    <row r="1044" spans="1:9">
      <c r="A1044" t="s">
        <v>3905</v>
      </c>
      <c r="B1044" t="str">
        <f>VLOOKUP($A1044,Szamlaszamok!$A1043:F2599,2,FALSE)</f>
      </c>
      <c r="C1044" t="str">
        <f>VLOOKUP($A1044,Szamlaszamok!$A1043:F2599,3,FALSE)</f>
      </c>
      <c r="D1044" t="str">
        <f>VLOOKUP($A1044,Szamlaszamok!$A1043:F2599,4,FALSE)</f>
      </c>
      <c r="E1044" t="str">
        <f>DATE(YEAR(D1044),MONTH(D1044),DAY(D1044))</f>
      </c>
      <c r="F1044" t="str">
        <f>CONCATENATE(C1044,E1044)</f>
      </c>
      <c r="G1044" t="str">
        <f>TIMEVALUE(D1044)</f>
      </c>
      <c r="H1044" t="str">
        <f>COUNTIF(Szamlaszamok!A:A,A1044)</f>
      </c>
      <c r="I1044" t="str">
        <f>SUMIFS(Szamlaszamok!E:E,Szamlaszamok!A:A,Szamlaszamok_nonduplicate!A1044)</f>
      </c>
    </row>
    <row r="1045" spans="1:9">
      <c r="A1045" t="s">
        <v>3909</v>
      </c>
      <c r="B1045" t="str">
        <f>VLOOKUP($A1045,Szamlaszamok!$A1044:F2600,2,FALSE)</f>
      </c>
      <c r="C1045" t="str">
        <f>VLOOKUP($A1045,Szamlaszamok!$A1044:F2600,3,FALSE)</f>
      </c>
      <c r="D1045" t="str">
        <f>VLOOKUP($A1045,Szamlaszamok!$A1044:F2600,4,FALSE)</f>
      </c>
      <c r="E1045" t="str">
        <f>DATE(YEAR(D1045),MONTH(D1045),DAY(D1045))</f>
      </c>
      <c r="F1045" t="str">
        <f>CONCATENATE(C1045,E1045)</f>
      </c>
      <c r="G1045" t="str">
        <f>TIMEVALUE(D1045)</f>
      </c>
      <c r="H1045" t="str">
        <f>COUNTIF(Szamlaszamok!A:A,A1045)</f>
      </c>
      <c r="I1045" t="str">
        <f>SUMIFS(Szamlaszamok!E:E,Szamlaszamok!A:A,Szamlaszamok_nonduplicate!A1045)</f>
      </c>
    </row>
    <row r="1046" spans="1:9">
      <c r="A1046" t="s">
        <v>3913</v>
      </c>
      <c r="B1046" t="str">
        <f>VLOOKUP($A1046,Szamlaszamok!$A1045:F2601,2,FALSE)</f>
      </c>
      <c r="C1046" t="str">
        <f>VLOOKUP($A1046,Szamlaszamok!$A1045:F2601,3,FALSE)</f>
      </c>
      <c r="D1046" t="str">
        <f>VLOOKUP($A1046,Szamlaszamok!$A1045:F2601,4,FALSE)</f>
      </c>
      <c r="E1046" t="str">
        <f>DATE(YEAR(D1046),MONTH(D1046),DAY(D1046))</f>
      </c>
      <c r="F1046" t="str">
        <f>CONCATENATE(C1046,E1046)</f>
      </c>
      <c r="G1046" t="str">
        <f>TIMEVALUE(D1046)</f>
      </c>
      <c r="H1046" t="str">
        <f>COUNTIF(Szamlaszamok!A:A,A1046)</f>
      </c>
      <c r="I1046" t="str">
        <f>SUMIFS(Szamlaszamok!E:E,Szamlaszamok!A:A,Szamlaszamok_nonduplicate!A1046)</f>
      </c>
    </row>
    <row r="1047" spans="1:9">
      <c r="A1047" t="s">
        <v>3916</v>
      </c>
      <c r="B1047" t="str">
        <f>VLOOKUP($A1047,Szamlaszamok!$A1046:F2602,2,FALSE)</f>
      </c>
      <c r="C1047" t="str">
        <f>VLOOKUP($A1047,Szamlaszamok!$A1046:F2602,3,FALSE)</f>
      </c>
      <c r="D1047" t="str">
        <f>VLOOKUP($A1047,Szamlaszamok!$A1046:F2602,4,FALSE)</f>
      </c>
      <c r="E1047" t="str">
        <f>DATE(YEAR(D1047),MONTH(D1047),DAY(D1047))</f>
      </c>
      <c r="F1047" t="str">
        <f>CONCATENATE(C1047,E1047)</f>
      </c>
      <c r="G1047" t="str">
        <f>TIMEVALUE(D1047)</f>
      </c>
      <c r="H1047" t="str">
        <f>COUNTIF(Szamlaszamok!A:A,A1047)</f>
      </c>
      <c r="I1047" t="str">
        <f>SUMIFS(Szamlaszamok!E:E,Szamlaszamok!A:A,Szamlaszamok_nonduplicate!A1047)</f>
      </c>
    </row>
    <row r="1048" spans="1:9">
      <c r="A1048" t="s">
        <v>3919</v>
      </c>
      <c r="B1048" t="str">
        <f>VLOOKUP($A1048,Szamlaszamok!$A1047:F2603,2,FALSE)</f>
      </c>
      <c r="C1048" t="str">
        <f>VLOOKUP($A1048,Szamlaszamok!$A1047:F2603,3,FALSE)</f>
      </c>
      <c r="D1048" t="str">
        <f>VLOOKUP($A1048,Szamlaszamok!$A1047:F2603,4,FALSE)</f>
      </c>
      <c r="E1048" t="str">
        <f>DATE(YEAR(D1048),MONTH(D1048),DAY(D1048))</f>
      </c>
      <c r="F1048" t="str">
        <f>CONCATENATE(C1048,E1048)</f>
      </c>
      <c r="G1048" t="str">
        <f>TIMEVALUE(D1048)</f>
      </c>
      <c r="H1048" t="str">
        <f>COUNTIF(Szamlaszamok!A:A,A1048)</f>
      </c>
      <c r="I1048" t="str">
        <f>SUMIFS(Szamlaszamok!E:E,Szamlaszamok!A:A,Szamlaszamok_nonduplicate!A1048)</f>
      </c>
    </row>
    <row r="1049" spans="1:9">
      <c r="A1049" t="s">
        <v>3923</v>
      </c>
      <c r="B1049" t="str">
        <f>VLOOKUP($A1049,Szamlaszamok!$A1048:F2604,2,FALSE)</f>
      </c>
      <c r="C1049" t="str">
        <f>VLOOKUP($A1049,Szamlaszamok!$A1048:F2604,3,FALSE)</f>
      </c>
      <c r="D1049" t="str">
        <f>VLOOKUP($A1049,Szamlaszamok!$A1048:F2604,4,FALSE)</f>
      </c>
      <c r="E1049" t="str">
        <f>DATE(YEAR(D1049),MONTH(D1049),DAY(D1049))</f>
      </c>
      <c r="F1049" t="str">
        <f>CONCATENATE(C1049,E1049)</f>
      </c>
      <c r="G1049" t="str">
        <f>TIMEVALUE(D1049)</f>
      </c>
      <c r="H1049" t="str">
        <f>COUNTIF(Szamlaszamok!A:A,A1049)</f>
      </c>
      <c r="I1049" t="str">
        <f>SUMIFS(Szamlaszamok!E:E,Szamlaszamok!A:A,Szamlaszamok_nonduplicate!A1049)</f>
      </c>
    </row>
    <row r="1050" spans="1:9">
      <c r="A1050" t="s">
        <v>3927</v>
      </c>
      <c r="B1050" t="str">
        <f>VLOOKUP($A1050,Szamlaszamok!$A1049:F2605,2,FALSE)</f>
      </c>
      <c r="C1050" t="str">
        <f>VLOOKUP($A1050,Szamlaszamok!$A1049:F2605,3,FALSE)</f>
      </c>
      <c r="D1050" t="str">
        <f>VLOOKUP($A1050,Szamlaszamok!$A1049:F2605,4,FALSE)</f>
      </c>
      <c r="E1050" t="str">
        <f>DATE(YEAR(D1050),MONTH(D1050),DAY(D1050))</f>
      </c>
      <c r="F1050" t="str">
        <f>CONCATENATE(C1050,E1050)</f>
      </c>
      <c r="G1050" t="str">
        <f>TIMEVALUE(D1050)</f>
      </c>
      <c r="H1050" t="str">
        <f>COUNTIF(Szamlaszamok!A:A,A1050)</f>
      </c>
      <c r="I1050" t="str">
        <f>SUMIFS(Szamlaszamok!E:E,Szamlaszamok!A:A,Szamlaszamok_nonduplicate!A1050)</f>
      </c>
    </row>
    <row r="1051" spans="1:9">
      <c r="A1051" t="s">
        <v>3931</v>
      </c>
      <c r="B1051" t="str">
        <f>VLOOKUP($A1051,Szamlaszamok!$A1050:F2606,2,FALSE)</f>
      </c>
      <c r="C1051" t="str">
        <f>VLOOKUP($A1051,Szamlaszamok!$A1050:F2606,3,FALSE)</f>
      </c>
      <c r="D1051" t="str">
        <f>VLOOKUP($A1051,Szamlaszamok!$A1050:F2606,4,FALSE)</f>
      </c>
      <c r="E1051" t="str">
        <f>DATE(YEAR(D1051),MONTH(D1051),DAY(D1051))</f>
      </c>
      <c r="F1051" t="str">
        <f>CONCATENATE(C1051,E1051)</f>
      </c>
      <c r="G1051" t="str">
        <f>TIMEVALUE(D1051)</f>
      </c>
      <c r="H1051" t="str">
        <f>COUNTIF(Szamlaszamok!A:A,A1051)</f>
      </c>
      <c r="I1051" t="str">
        <f>SUMIFS(Szamlaszamok!E:E,Szamlaszamok!A:A,Szamlaszamok_nonduplicate!A1051)</f>
      </c>
    </row>
    <row r="1052" spans="1:9">
      <c r="A1052" t="s">
        <v>3936</v>
      </c>
      <c r="B1052" t="str">
        <f>VLOOKUP($A1052,Szamlaszamok!$A1051:F2607,2,FALSE)</f>
      </c>
      <c r="C1052" t="str">
        <f>VLOOKUP($A1052,Szamlaszamok!$A1051:F2607,3,FALSE)</f>
      </c>
      <c r="D1052" t="str">
        <f>VLOOKUP($A1052,Szamlaszamok!$A1051:F2607,4,FALSE)</f>
      </c>
      <c r="E1052" t="str">
        <f>DATE(YEAR(D1052),MONTH(D1052),DAY(D1052))</f>
      </c>
      <c r="F1052" t="str">
        <f>CONCATENATE(C1052,E1052)</f>
      </c>
      <c r="G1052" t="str">
        <f>TIMEVALUE(D1052)</f>
      </c>
      <c r="H1052" t="str">
        <f>COUNTIF(Szamlaszamok!A:A,A1052)</f>
      </c>
      <c r="I1052" t="str">
        <f>SUMIFS(Szamlaszamok!E:E,Szamlaszamok!A:A,Szamlaszamok_nonduplicate!A1052)</f>
      </c>
    </row>
    <row r="1053" spans="1:9">
      <c r="A1053" t="s">
        <v>3940</v>
      </c>
      <c r="B1053" t="str">
        <f>VLOOKUP($A1053,Szamlaszamok!$A1052:F2608,2,FALSE)</f>
      </c>
      <c r="C1053" t="str">
        <f>VLOOKUP($A1053,Szamlaszamok!$A1052:F2608,3,FALSE)</f>
      </c>
      <c r="D1053" t="str">
        <f>VLOOKUP($A1053,Szamlaszamok!$A1052:F2608,4,FALSE)</f>
      </c>
      <c r="E1053" t="str">
        <f>DATE(YEAR(D1053),MONTH(D1053),DAY(D1053))</f>
      </c>
      <c r="F1053" t="str">
        <f>CONCATENATE(C1053,E1053)</f>
      </c>
      <c r="G1053" t="str">
        <f>TIMEVALUE(D1053)</f>
      </c>
      <c r="H1053" t="str">
        <f>COUNTIF(Szamlaszamok!A:A,A1053)</f>
      </c>
      <c r="I1053" t="str">
        <f>SUMIFS(Szamlaszamok!E:E,Szamlaszamok!A:A,Szamlaszamok_nonduplicate!A1053)</f>
      </c>
    </row>
    <row r="1054" spans="1:9">
      <c r="A1054" t="s">
        <v>3943</v>
      </c>
      <c r="B1054" t="str">
        <f>VLOOKUP($A1054,Szamlaszamok!$A1053:F2609,2,FALSE)</f>
      </c>
      <c r="C1054" t="str">
        <f>VLOOKUP($A1054,Szamlaszamok!$A1053:F2609,3,FALSE)</f>
      </c>
      <c r="D1054" t="str">
        <f>VLOOKUP($A1054,Szamlaszamok!$A1053:F2609,4,FALSE)</f>
      </c>
      <c r="E1054" t="str">
        <f>DATE(YEAR(D1054),MONTH(D1054),DAY(D1054))</f>
      </c>
      <c r="F1054" t="str">
        <f>CONCATENATE(C1054,E1054)</f>
      </c>
      <c r="G1054" t="str">
        <f>TIMEVALUE(D1054)</f>
      </c>
      <c r="H1054" t="str">
        <f>COUNTIF(Szamlaszamok!A:A,A1054)</f>
      </c>
      <c r="I1054" t="str">
        <f>SUMIFS(Szamlaszamok!E:E,Szamlaszamok!A:A,Szamlaszamok_nonduplicate!A1054)</f>
      </c>
    </row>
    <row r="1055" spans="1:9">
      <c r="A1055" t="s">
        <v>3947</v>
      </c>
      <c r="B1055" t="str">
        <f>VLOOKUP($A1055,Szamlaszamok!$A1054:F2610,2,FALSE)</f>
      </c>
      <c r="C1055" t="str">
        <f>VLOOKUP($A1055,Szamlaszamok!$A1054:F2610,3,FALSE)</f>
      </c>
      <c r="D1055" t="str">
        <f>VLOOKUP($A1055,Szamlaszamok!$A1054:F2610,4,FALSE)</f>
      </c>
      <c r="E1055" t="str">
        <f>DATE(YEAR(D1055),MONTH(D1055),DAY(D1055))</f>
      </c>
      <c r="F1055" t="str">
        <f>CONCATENATE(C1055,E1055)</f>
      </c>
      <c r="G1055" t="str">
        <f>TIMEVALUE(D1055)</f>
      </c>
      <c r="H1055" t="str">
        <f>COUNTIF(Szamlaszamok!A:A,A1055)</f>
      </c>
      <c r="I1055" t="str">
        <f>SUMIFS(Szamlaszamok!E:E,Szamlaszamok!A:A,Szamlaszamok_nonduplicate!A1055)</f>
      </c>
    </row>
    <row r="1056" spans="1:9">
      <c r="A1056" t="s">
        <v>3949</v>
      </c>
      <c r="B1056" t="str">
        <f>VLOOKUP($A1056,Szamlaszamok!$A1055:F2611,2,FALSE)</f>
      </c>
      <c r="C1056" t="str">
        <f>VLOOKUP($A1056,Szamlaszamok!$A1055:F2611,3,FALSE)</f>
      </c>
      <c r="D1056" t="str">
        <f>VLOOKUP($A1056,Szamlaszamok!$A1055:F2611,4,FALSE)</f>
      </c>
      <c r="E1056" t="str">
        <f>DATE(YEAR(D1056),MONTH(D1056),DAY(D1056))</f>
      </c>
      <c r="F1056" t="str">
        <f>CONCATENATE(C1056,E1056)</f>
      </c>
      <c r="G1056" t="str">
        <f>TIMEVALUE(D1056)</f>
      </c>
      <c r="H1056" t="str">
        <f>COUNTIF(Szamlaszamok!A:A,A1056)</f>
      </c>
      <c r="I1056" t="str">
        <f>SUMIFS(Szamlaszamok!E:E,Szamlaszamok!A:A,Szamlaszamok_nonduplicate!A1056)</f>
      </c>
    </row>
    <row r="1057" spans="1:9">
      <c r="A1057" t="s">
        <v>3953</v>
      </c>
      <c r="B1057" t="str">
        <f>VLOOKUP($A1057,Szamlaszamok!$A1056:F2612,2,FALSE)</f>
      </c>
      <c r="C1057" t="str">
        <f>VLOOKUP($A1057,Szamlaszamok!$A1056:F2612,3,FALSE)</f>
      </c>
      <c r="D1057" t="str">
        <f>VLOOKUP($A1057,Szamlaszamok!$A1056:F2612,4,FALSE)</f>
      </c>
      <c r="E1057" t="str">
        <f>DATE(YEAR(D1057),MONTH(D1057),DAY(D1057))</f>
      </c>
      <c r="F1057" t="str">
        <f>CONCATENATE(C1057,E1057)</f>
      </c>
      <c r="G1057" t="str">
        <f>TIMEVALUE(D1057)</f>
      </c>
      <c r="H1057" t="str">
        <f>COUNTIF(Szamlaszamok!A:A,A1057)</f>
      </c>
      <c r="I1057" t="str">
        <f>SUMIFS(Szamlaszamok!E:E,Szamlaszamok!A:A,Szamlaszamok_nonduplicate!A1057)</f>
      </c>
    </row>
    <row r="1058" spans="1:9">
      <c r="A1058" t="s">
        <v>3956</v>
      </c>
      <c r="B1058" t="str">
        <f>VLOOKUP($A1058,Szamlaszamok!$A1057:F2613,2,FALSE)</f>
      </c>
      <c r="C1058" t="str">
        <f>VLOOKUP($A1058,Szamlaszamok!$A1057:F2613,3,FALSE)</f>
      </c>
      <c r="D1058" t="str">
        <f>VLOOKUP($A1058,Szamlaszamok!$A1057:F2613,4,FALSE)</f>
      </c>
      <c r="E1058" t="str">
        <f>DATE(YEAR(D1058),MONTH(D1058),DAY(D1058))</f>
      </c>
      <c r="F1058" t="str">
        <f>CONCATENATE(C1058,E1058)</f>
      </c>
      <c r="G1058" t="str">
        <f>TIMEVALUE(D1058)</f>
      </c>
      <c r="H1058" t="str">
        <f>COUNTIF(Szamlaszamok!A:A,A1058)</f>
      </c>
      <c r="I1058" t="str">
        <f>SUMIFS(Szamlaszamok!E:E,Szamlaszamok!A:A,Szamlaszamok_nonduplicate!A1058)</f>
      </c>
    </row>
    <row r="1059" spans="1:9">
      <c r="A1059" t="s">
        <v>3960</v>
      </c>
      <c r="B1059" t="str">
        <f>VLOOKUP($A1059,Szamlaszamok!$A1058:F2614,2,FALSE)</f>
      </c>
      <c r="C1059" t="str">
        <f>VLOOKUP($A1059,Szamlaszamok!$A1058:F2614,3,FALSE)</f>
      </c>
      <c r="D1059" t="str">
        <f>VLOOKUP($A1059,Szamlaszamok!$A1058:F2614,4,FALSE)</f>
      </c>
      <c r="E1059" t="str">
        <f>DATE(YEAR(D1059),MONTH(D1059),DAY(D1059))</f>
      </c>
      <c r="F1059" t="str">
        <f>CONCATENATE(C1059,E1059)</f>
      </c>
      <c r="G1059" t="str">
        <f>TIMEVALUE(D1059)</f>
      </c>
      <c r="H1059" t="str">
        <f>COUNTIF(Szamlaszamok!A:A,A1059)</f>
      </c>
      <c r="I1059" t="str">
        <f>SUMIFS(Szamlaszamok!E:E,Szamlaszamok!A:A,Szamlaszamok_nonduplicate!A1059)</f>
      </c>
    </row>
    <row r="1060" spans="1:9">
      <c r="A1060" t="s">
        <v>3964</v>
      </c>
      <c r="B1060" t="str">
        <f>VLOOKUP($A1060,Szamlaszamok!$A1059:F2615,2,FALSE)</f>
      </c>
      <c r="C1060" t="str">
        <f>VLOOKUP($A1060,Szamlaszamok!$A1059:F2615,3,FALSE)</f>
      </c>
      <c r="D1060" t="str">
        <f>VLOOKUP($A1060,Szamlaszamok!$A1059:F2615,4,FALSE)</f>
      </c>
      <c r="E1060" t="str">
        <f>DATE(YEAR(D1060),MONTH(D1060),DAY(D1060))</f>
      </c>
      <c r="F1060" t="str">
        <f>CONCATENATE(C1060,E1060)</f>
      </c>
      <c r="G1060" t="str">
        <f>TIMEVALUE(D1060)</f>
      </c>
      <c r="H1060" t="str">
        <f>COUNTIF(Szamlaszamok!A:A,A1060)</f>
      </c>
      <c r="I1060" t="str">
        <f>SUMIFS(Szamlaszamok!E:E,Szamlaszamok!A:A,Szamlaszamok_nonduplicate!A1060)</f>
      </c>
    </row>
    <row r="1061" spans="1:9">
      <c r="A1061" t="s">
        <v>3968</v>
      </c>
      <c r="B1061" t="str">
        <f>VLOOKUP($A1061,Szamlaszamok!$A1060:F2616,2,FALSE)</f>
      </c>
      <c r="C1061" t="str">
        <f>VLOOKUP($A1061,Szamlaszamok!$A1060:F2616,3,FALSE)</f>
      </c>
      <c r="D1061" t="str">
        <f>VLOOKUP($A1061,Szamlaszamok!$A1060:F2616,4,FALSE)</f>
      </c>
      <c r="E1061" t="str">
        <f>DATE(YEAR(D1061),MONTH(D1061),DAY(D1061))</f>
      </c>
      <c r="F1061" t="str">
        <f>CONCATENATE(C1061,E1061)</f>
      </c>
      <c r="G1061" t="str">
        <f>TIMEVALUE(D1061)</f>
      </c>
      <c r="H1061" t="str">
        <f>COUNTIF(Szamlaszamok!A:A,A1061)</f>
      </c>
      <c r="I1061" t="str">
        <f>SUMIFS(Szamlaszamok!E:E,Szamlaszamok!A:A,Szamlaszamok_nonduplicate!A1061)</f>
      </c>
    </row>
    <row r="1062" spans="1:9">
      <c r="A1062" t="s">
        <v>3972</v>
      </c>
      <c r="B1062" t="str">
        <f>VLOOKUP($A1062,Szamlaszamok!$A1061:F2617,2,FALSE)</f>
      </c>
      <c r="C1062" t="str">
        <f>VLOOKUP($A1062,Szamlaszamok!$A1061:F2617,3,FALSE)</f>
      </c>
      <c r="D1062" t="str">
        <f>VLOOKUP($A1062,Szamlaszamok!$A1061:F2617,4,FALSE)</f>
      </c>
      <c r="E1062" t="str">
        <f>DATE(YEAR(D1062),MONTH(D1062),DAY(D1062))</f>
      </c>
      <c r="F1062" t="str">
        <f>CONCATENATE(C1062,E1062)</f>
      </c>
      <c r="G1062" t="str">
        <f>TIMEVALUE(D1062)</f>
      </c>
      <c r="H1062" t="str">
        <f>COUNTIF(Szamlaszamok!A:A,A1062)</f>
      </c>
      <c r="I1062" t="str">
        <f>SUMIFS(Szamlaszamok!E:E,Szamlaszamok!A:A,Szamlaszamok_nonduplicate!A1062)</f>
      </c>
    </row>
    <row r="1063" spans="1:9">
      <c r="A1063" t="s">
        <v>3974</v>
      </c>
      <c r="B1063" t="str">
        <f>VLOOKUP($A1063,Szamlaszamok!$A1062:F2618,2,FALSE)</f>
      </c>
      <c r="C1063" t="str">
        <f>VLOOKUP($A1063,Szamlaszamok!$A1062:F2618,3,FALSE)</f>
      </c>
      <c r="D1063" t="str">
        <f>VLOOKUP($A1063,Szamlaszamok!$A1062:F2618,4,FALSE)</f>
      </c>
      <c r="E1063" t="str">
        <f>DATE(YEAR(D1063),MONTH(D1063),DAY(D1063))</f>
      </c>
      <c r="F1063" t="str">
        <f>CONCATENATE(C1063,E1063)</f>
      </c>
      <c r="G1063" t="str">
        <f>TIMEVALUE(D1063)</f>
      </c>
      <c r="H1063" t="str">
        <f>COUNTIF(Szamlaszamok!A:A,A1063)</f>
      </c>
      <c r="I1063" t="str">
        <f>SUMIFS(Szamlaszamok!E:E,Szamlaszamok!A:A,Szamlaszamok_nonduplicate!A1063)</f>
      </c>
    </row>
    <row r="1064" spans="1:9">
      <c r="A1064" t="s">
        <v>3977</v>
      </c>
      <c r="B1064" t="str">
        <f>VLOOKUP($A1064,Szamlaszamok!$A1063:F2619,2,FALSE)</f>
      </c>
      <c r="C1064" t="str">
        <f>VLOOKUP($A1064,Szamlaszamok!$A1063:F2619,3,FALSE)</f>
      </c>
      <c r="D1064" t="str">
        <f>VLOOKUP($A1064,Szamlaszamok!$A1063:F2619,4,FALSE)</f>
      </c>
      <c r="E1064" t="str">
        <f>DATE(YEAR(D1064),MONTH(D1064),DAY(D1064))</f>
      </c>
      <c r="F1064" t="str">
        <f>CONCATENATE(C1064,E1064)</f>
      </c>
      <c r="G1064" t="str">
        <f>TIMEVALUE(D1064)</f>
      </c>
      <c r="H1064" t="str">
        <f>COUNTIF(Szamlaszamok!A:A,A1064)</f>
      </c>
      <c r="I1064" t="str">
        <f>SUMIFS(Szamlaszamok!E:E,Szamlaszamok!A:A,Szamlaszamok_nonduplicate!A1064)</f>
      </c>
    </row>
    <row r="1065" spans="1:9">
      <c r="A1065" t="s">
        <v>3981</v>
      </c>
      <c r="B1065" t="str">
        <f>VLOOKUP($A1065,Szamlaszamok!$A1064:F2620,2,FALSE)</f>
      </c>
      <c r="C1065" t="str">
        <f>VLOOKUP($A1065,Szamlaszamok!$A1064:F2620,3,FALSE)</f>
      </c>
      <c r="D1065" t="str">
        <f>VLOOKUP($A1065,Szamlaszamok!$A1064:F2620,4,FALSE)</f>
      </c>
      <c r="E1065" t="str">
        <f>DATE(YEAR(D1065),MONTH(D1065),DAY(D1065))</f>
      </c>
      <c r="F1065" t="str">
        <f>CONCATENATE(C1065,E1065)</f>
      </c>
      <c r="G1065" t="str">
        <f>TIMEVALUE(D1065)</f>
      </c>
      <c r="H1065" t="str">
        <f>COUNTIF(Szamlaszamok!A:A,A1065)</f>
      </c>
      <c r="I1065" t="str">
        <f>SUMIFS(Szamlaszamok!E:E,Szamlaszamok!A:A,Szamlaszamok_nonduplicate!A1065)</f>
      </c>
    </row>
    <row r="1066" spans="1:9">
      <c r="A1066" t="s">
        <v>3985</v>
      </c>
      <c r="B1066" t="str">
        <f>VLOOKUP($A1066,Szamlaszamok!$A1065:F2621,2,FALSE)</f>
      </c>
      <c r="C1066" t="str">
        <f>VLOOKUP($A1066,Szamlaszamok!$A1065:F2621,3,FALSE)</f>
      </c>
      <c r="D1066" t="str">
        <f>VLOOKUP($A1066,Szamlaszamok!$A1065:F2621,4,FALSE)</f>
      </c>
      <c r="E1066" t="str">
        <f>DATE(YEAR(D1066),MONTH(D1066),DAY(D1066))</f>
      </c>
      <c r="F1066" t="str">
        <f>CONCATENATE(C1066,E1066)</f>
      </c>
      <c r="G1066" t="str">
        <f>TIMEVALUE(D1066)</f>
      </c>
      <c r="H1066" t="str">
        <f>COUNTIF(Szamlaszamok!A:A,A1066)</f>
      </c>
      <c r="I1066" t="str">
        <f>SUMIFS(Szamlaszamok!E:E,Szamlaszamok!A:A,Szamlaszamok_nonduplicate!A1066)</f>
      </c>
    </row>
    <row r="1067" spans="1:9">
      <c r="A1067" t="s">
        <v>3988</v>
      </c>
      <c r="B1067" t="str">
        <f>VLOOKUP($A1067,Szamlaszamok!$A1066:F2622,2,FALSE)</f>
      </c>
      <c r="C1067" t="str">
        <f>VLOOKUP($A1067,Szamlaszamok!$A1066:F2622,3,FALSE)</f>
      </c>
      <c r="D1067" t="str">
        <f>VLOOKUP($A1067,Szamlaszamok!$A1066:F2622,4,FALSE)</f>
      </c>
      <c r="E1067" t="str">
        <f>DATE(YEAR(D1067),MONTH(D1067),DAY(D1067))</f>
      </c>
      <c r="F1067" t="str">
        <f>CONCATENATE(C1067,E1067)</f>
      </c>
      <c r="G1067" t="str">
        <f>TIMEVALUE(D1067)</f>
      </c>
      <c r="H1067" t="str">
        <f>COUNTIF(Szamlaszamok!A:A,A1067)</f>
      </c>
      <c r="I1067" t="str">
        <f>SUMIFS(Szamlaszamok!E:E,Szamlaszamok!A:A,Szamlaszamok_nonduplicate!A1067)</f>
      </c>
    </row>
    <row r="1068" spans="1:9">
      <c r="A1068" t="s">
        <v>3991</v>
      </c>
      <c r="B1068" t="str">
        <f>VLOOKUP($A1068,Szamlaszamok!$A1067:F2623,2,FALSE)</f>
      </c>
      <c r="C1068" t="str">
        <f>VLOOKUP($A1068,Szamlaszamok!$A1067:F2623,3,FALSE)</f>
      </c>
      <c r="D1068" t="str">
        <f>VLOOKUP($A1068,Szamlaszamok!$A1067:F2623,4,FALSE)</f>
      </c>
      <c r="E1068" t="str">
        <f>DATE(YEAR(D1068),MONTH(D1068),DAY(D1068))</f>
      </c>
      <c r="F1068" t="str">
        <f>CONCATENATE(C1068,E1068)</f>
      </c>
      <c r="G1068" t="str">
        <f>TIMEVALUE(D1068)</f>
      </c>
      <c r="H1068" t="str">
        <f>COUNTIF(Szamlaszamok!A:A,A1068)</f>
      </c>
      <c r="I1068" t="str">
        <f>SUMIFS(Szamlaszamok!E:E,Szamlaszamok!A:A,Szamlaszamok_nonduplicate!A1068)</f>
      </c>
    </row>
    <row r="1069" spans="1:9">
      <c r="A1069" t="s">
        <v>3993</v>
      </c>
      <c r="B1069" t="str">
        <f>VLOOKUP($A1069,Szamlaszamok!$A1068:F2624,2,FALSE)</f>
      </c>
      <c r="C1069" t="str">
        <f>VLOOKUP($A1069,Szamlaszamok!$A1068:F2624,3,FALSE)</f>
      </c>
      <c r="D1069" t="str">
        <f>VLOOKUP($A1069,Szamlaszamok!$A1068:F2624,4,FALSE)</f>
      </c>
      <c r="E1069" t="str">
        <f>DATE(YEAR(D1069),MONTH(D1069),DAY(D1069))</f>
      </c>
      <c r="F1069" t="str">
        <f>CONCATENATE(C1069,E1069)</f>
      </c>
      <c r="G1069" t="str">
        <f>TIMEVALUE(D1069)</f>
      </c>
      <c r="H1069" t="str">
        <f>COUNTIF(Szamlaszamok!A:A,A1069)</f>
      </c>
      <c r="I1069" t="str">
        <f>SUMIFS(Szamlaszamok!E:E,Szamlaszamok!A:A,Szamlaszamok_nonduplicate!A1069)</f>
      </c>
    </row>
    <row r="1070" spans="1:9">
      <c r="A1070" t="s">
        <v>3996</v>
      </c>
      <c r="B1070" t="str">
        <f>VLOOKUP($A1070,Szamlaszamok!$A1069:F2625,2,FALSE)</f>
      </c>
      <c r="C1070" t="str">
        <f>VLOOKUP($A1070,Szamlaszamok!$A1069:F2625,3,FALSE)</f>
      </c>
      <c r="D1070" t="str">
        <f>VLOOKUP($A1070,Szamlaszamok!$A1069:F2625,4,FALSE)</f>
      </c>
      <c r="E1070" t="str">
        <f>DATE(YEAR(D1070),MONTH(D1070),DAY(D1070))</f>
      </c>
      <c r="F1070" t="str">
        <f>CONCATENATE(C1070,E1070)</f>
      </c>
      <c r="G1070" t="str">
        <f>TIMEVALUE(D1070)</f>
      </c>
      <c r="H1070" t="str">
        <f>COUNTIF(Szamlaszamok!A:A,A1070)</f>
      </c>
      <c r="I1070" t="str">
        <f>SUMIFS(Szamlaszamok!E:E,Szamlaszamok!A:A,Szamlaszamok_nonduplicate!A1070)</f>
      </c>
    </row>
    <row r="1071" spans="1:9">
      <c r="A1071" t="s">
        <v>3999</v>
      </c>
      <c r="B1071" t="str">
        <f>VLOOKUP($A1071,Szamlaszamok!$A1070:F2626,2,FALSE)</f>
      </c>
      <c r="C1071" t="str">
        <f>VLOOKUP($A1071,Szamlaszamok!$A1070:F2626,3,FALSE)</f>
      </c>
      <c r="D1071" t="str">
        <f>VLOOKUP($A1071,Szamlaszamok!$A1070:F2626,4,FALSE)</f>
      </c>
      <c r="E1071" t="str">
        <f>DATE(YEAR(D1071),MONTH(D1071),DAY(D1071))</f>
      </c>
      <c r="F1071" t="str">
        <f>CONCATENATE(C1071,E1071)</f>
      </c>
      <c r="G1071" t="str">
        <f>TIMEVALUE(D1071)</f>
      </c>
      <c r="H1071" t="str">
        <f>COUNTIF(Szamlaszamok!A:A,A1071)</f>
      </c>
      <c r="I1071" t="str">
        <f>SUMIFS(Szamlaszamok!E:E,Szamlaszamok!A:A,Szamlaszamok_nonduplicate!A1071)</f>
      </c>
    </row>
    <row r="1072" spans="1:9">
      <c r="A1072" t="s">
        <v>4001</v>
      </c>
      <c r="B1072" t="str">
        <f>VLOOKUP($A1072,Szamlaszamok!$A1071:F2627,2,FALSE)</f>
      </c>
      <c r="C1072" t="str">
        <f>VLOOKUP($A1072,Szamlaszamok!$A1071:F2627,3,FALSE)</f>
      </c>
      <c r="D1072" t="str">
        <f>VLOOKUP($A1072,Szamlaszamok!$A1071:F2627,4,FALSE)</f>
      </c>
      <c r="E1072" t="str">
        <f>DATE(YEAR(D1072),MONTH(D1072),DAY(D1072))</f>
      </c>
      <c r="F1072" t="str">
        <f>CONCATENATE(C1072,E1072)</f>
      </c>
      <c r="G1072" t="str">
        <f>TIMEVALUE(D1072)</f>
      </c>
      <c r="H1072" t="str">
        <f>COUNTIF(Szamlaszamok!A:A,A1072)</f>
      </c>
      <c r="I1072" t="str">
        <f>SUMIFS(Szamlaszamok!E:E,Szamlaszamok!A:A,Szamlaszamok_nonduplicate!A1072)</f>
      </c>
    </row>
    <row r="1073" spans="1:9">
      <c r="A1073" t="s">
        <v>4004</v>
      </c>
      <c r="B1073" t="str">
        <f>VLOOKUP($A1073,Szamlaszamok!$A1072:F2628,2,FALSE)</f>
      </c>
      <c r="C1073" t="str">
        <f>VLOOKUP($A1073,Szamlaszamok!$A1072:F2628,3,FALSE)</f>
      </c>
      <c r="D1073" t="str">
        <f>VLOOKUP($A1073,Szamlaszamok!$A1072:F2628,4,FALSE)</f>
      </c>
      <c r="E1073" t="str">
        <f>DATE(YEAR(D1073),MONTH(D1073),DAY(D1073))</f>
      </c>
      <c r="F1073" t="str">
        <f>CONCATENATE(C1073,E1073)</f>
      </c>
      <c r="G1073" t="str">
        <f>TIMEVALUE(D1073)</f>
      </c>
      <c r="H1073" t="str">
        <f>COUNTIF(Szamlaszamok!A:A,A1073)</f>
      </c>
      <c r="I1073" t="str">
        <f>SUMIFS(Szamlaszamok!E:E,Szamlaszamok!A:A,Szamlaszamok_nonduplicate!A1073)</f>
      </c>
    </row>
    <row r="1074" spans="1:9">
      <c r="A1074" t="s">
        <v>4007</v>
      </c>
      <c r="B1074" t="str">
        <f>VLOOKUP($A1074,Szamlaszamok!$A1073:F2629,2,FALSE)</f>
      </c>
      <c r="C1074" t="str">
        <f>VLOOKUP($A1074,Szamlaszamok!$A1073:F2629,3,FALSE)</f>
      </c>
      <c r="D1074" t="str">
        <f>VLOOKUP($A1074,Szamlaszamok!$A1073:F2629,4,FALSE)</f>
      </c>
      <c r="E1074" t="str">
        <f>DATE(YEAR(D1074),MONTH(D1074),DAY(D1074))</f>
      </c>
      <c r="F1074" t="str">
        <f>CONCATENATE(C1074,E1074)</f>
      </c>
      <c r="G1074" t="str">
        <f>TIMEVALUE(D1074)</f>
      </c>
      <c r="H1074" t="str">
        <f>COUNTIF(Szamlaszamok!A:A,A1074)</f>
      </c>
      <c r="I1074" t="str">
        <f>SUMIFS(Szamlaszamok!E:E,Szamlaszamok!A:A,Szamlaszamok_nonduplicate!A1074)</f>
      </c>
    </row>
    <row r="1075" spans="1:9">
      <c r="A1075" t="s">
        <v>4009</v>
      </c>
      <c r="B1075" t="str">
        <f>VLOOKUP($A1075,Szamlaszamok!$A1074:F2630,2,FALSE)</f>
      </c>
      <c r="C1075" t="str">
        <f>VLOOKUP($A1075,Szamlaszamok!$A1074:F2630,3,FALSE)</f>
      </c>
      <c r="D1075" t="str">
        <f>VLOOKUP($A1075,Szamlaszamok!$A1074:F2630,4,FALSE)</f>
      </c>
      <c r="E1075" t="str">
        <f>DATE(YEAR(D1075),MONTH(D1075),DAY(D1075))</f>
      </c>
      <c r="F1075" t="str">
        <f>CONCATENATE(C1075,E1075)</f>
      </c>
      <c r="G1075" t="str">
        <f>TIMEVALUE(D1075)</f>
      </c>
      <c r="H1075" t="str">
        <f>COUNTIF(Szamlaszamok!A:A,A1075)</f>
      </c>
      <c r="I1075" t="str">
        <f>SUMIFS(Szamlaszamok!E:E,Szamlaszamok!A:A,Szamlaszamok_nonduplicate!A1075)</f>
      </c>
    </row>
    <row r="1076" spans="1:9">
      <c r="A1076" t="s">
        <v>4012</v>
      </c>
      <c r="B1076" t="str">
        <f>VLOOKUP($A1076,Szamlaszamok!$A1075:F2631,2,FALSE)</f>
      </c>
      <c r="C1076" t="str">
        <f>VLOOKUP($A1076,Szamlaszamok!$A1075:F2631,3,FALSE)</f>
      </c>
      <c r="D1076" t="str">
        <f>VLOOKUP($A1076,Szamlaszamok!$A1075:F2631,4,FALSE)</f>
      </c>
      <c r="E1076" t="str">
        <f>DATE(YEAR(D1076),MONTH(D1076),DAY(D1076))</f>
      </c>
      <c r="F1076" t="str">
        <f>CONCATENATE(C1076,E1076)</f>
      </c>
      <c r="G1076" t="str">
        <f>TIMEVALUE(D1076)</f>
      </c>
      <c r="H1076" t="str">
        <f>COUNTIF(Szamlaszamok!A:A,A1076)</f>
      </c>
      <c r="I1076" t="str">
        <f>SUMIFS(Szamlaszamok!E:E,Szamlaszamok!A:A,Szamlaszamok_nonduplicate!A1076)</f>
      </c>
    </row>
    <row r="1077" spans="1:9">
      <c r="A1077" t="s">
        <v>4015</v>
      </c>
      <c r="B1077" t="str">
        <f>VLOOKUP($A1077,Szamlaszamok!$A1076:F2632,2,FALSE)</f>
      </c>
      <c r="C1077" t="str">
        <f>VLOOKUP($A1077,Szamlaszamok!$A1076:F2632,3,FALSE)</f>
      </c>
      <c r="D1077" t="str">
        <f>VLOOKUP($A1077,Szamlaszamok!$A1076:F2632,4,FALSE)</f>
      </c>
      <c r="E1077" t="str">
        <f>DATE(YEAR(D1077),MONTH(D1077),DAY(D1077))</f>
      </c>
      <c r="F1077" t="str">
        <f>CONCATENATE(C1077,E1077)</f>
      </c>
      <c r="G1077" t="str">
        <f>TIMEVALUE(D1077)</f>
      </c>
      <c r="H1077" t="str">
        <f>COUNTIF(Szamlaszamok!A:A,A1077)</f>
      </c>
      <c r="I1077" t="str">
        <f>SUMIFS(Szamlaszamok!E:E,Szamlaszamok!A:A,Szamlaszamok_nonduplicate!A1077)</f>
      </c>
    </row>
    <row r="1078" spans="1:9">
      <c r="A1078" t="s">
        <v>4018</v>
      </c>
      <c r="B1078" t="str">
        <f>VLOOKUP($A1078,Szamlaszamok!$A1077:F2633,2,FALSE)</f>
      </c>
      <c r="C1078" t="str">
        <f>VLOOKUP($A1078,Szamlaszamok!$A1077:F2633,3,FALSE)</f>
      </c>
      <c r="D1078" t="str">
        <f>VLOOKUP($A1078,Szamlaszamok!$A1077:F2633,4,FALSE)</f>
      </c>
      <c r="E1078" t="str">
        <f>DATE(YEAR(D1078),MONTH(D1078),DAY(D1078))</f>
      </c>
      <c r="F1078" t="str">
        <f>CONCATENATE(C1078,E1078)</f>
      </c>
      <c r="G1078" t="str">
        <f>TIMEVALUE(D1078)</f>
      </c>
      <c r="H1078" t="str">
        <f>COUNTIF(Szamlaszamok!A:A,A1078)</f>
      </c>
      <c r="I1078" t="str">
        <f>SUMIFS(Szamlaszamok!E:E,Szamlaszamok!A:A,Szamlaszamok_nonduplicate!A1078)</f>
      </c>
    </row>
    <row r="1079" spans="1:9">
      <c r="A1079" t="s">
        <v>4022</v>
      </c>
      <c r="B1079" t="str">
        <f>VLOOKUP($A1079,Szamlaszamok!$A1078:F2634,2,FALSE)</f>
      </c>
      <c r="C1079" t="str">
        <f>VLOOKUP($A1079,Szamlaszamok!$A1078:F2634,3,FALSE)</f>
      </c>
      <c r="D1079" t="str">
        <f>VLOOKUP($A1079,Szamlaszamok!$A1078:F2634,4,FALSE)</f>
      </c>
      <c r="E1079" t="str">
        <f>DATE(YEAR(D1079),MONTH(D1079),DAY(D1079))</f>
      </c>
      <c r="F1079" t="str">
        <f>CONCATENATE(C1079,E1079)</f>
      </c>
      <c r="G1079" t="str">
        <f>TIMEVALUE(D1079)</f>
      </c>
      <c r="H1079" t="str">
        <f>COUNTIF(Szamlaszamok!A:A,A1079)</f>
      </c>
      <c r="I1079" t="str">
        <f>SUMIFS(Szamlaszamok!E:E,Szamlaszamok!A:A,Szamlaszamok_nonduplicate!A1079)</f>
      </c>
    </row>
    <row r="1080" spans="1:9">
      <c r="A1080" t="s">
        <v>4026</v>
      </c>
      <c r="B1080" t="str">
        <f>VLOOKUP($A1080,Szamlaszamok!$A1079:F2635,2,FALSE)</f>
      </c>
      <c r="C1080" t="str">
        <f>VLOOKUP($A1080,Szamlaszamok!$A1079:F2635,3,FALSE)</f>
      </c>
      <c r="D1080" t="str">
        <f>VLOOKUP($A1080,Szamlaszamok!$A1079:F2635,4,FALSE)</f>
      </c>
      <c r="E1080" t="str">
        <f>DATE(YEAR(D1080),MONTH(D1080),DAY(D1080))</f>
      </c>
      <c r="F1080" t="str">
        <f>CONCATENATE(C1080,E1080)</f>
      </c>
      <c r="G1080" t="str">
        <f>TIMEVALUE(D1080)</f>
      </c>
      <c r="H1080" t="str">
        <f>COUNTIF(Szamlaszamok!A:A,A1080)</f>
      </c>
      <c r="I1080" t="str">
        <f>SUMIFS(Szamlaszamok!E:E,Szamlaszamok!A:A,Szamlaszamok_nonduplicate!A1080)</f>
      </c>
    </row>
    <row r="1081" spans="1:9">
      <c r="A1081" t="s">
        <v>4030</v>
      </c>
      <c r="B1081" t="str">
        <f>VLOOKUP($A1081,Szamlaszamok!$A1080:F2636,2,FALSE)</f>
      </c>
      <c r="C1081" t="str">
        <f>VLOOKUP($A1081,Szamlaszamok!$A1080:F2636,3,FALSE)</f>
      </c>
      <c r="D1081" t="str">
        <f>VLOOKUP($A1081,Szamlaszamok!$A1080:F2636,4,FALSE)</f>
      </c>
      <c r="E1081" t="str">
        <f>DATE(YEAR(D1081),MONTH(D1081),DAY(D1081))</f>
      </c>
      <c r="F1081" t="str">
        <f>CONCATENATE(C1081,E1081)</f>
      </c>
      <c r="G1081" t="str">
        <f>TIMEVALUE(D1081)</f>
      </c>
      <c r="H1081" t="str">
        <f>COUNTIF(Szamlaszamok!A:A,A1081)</f>
      </c>
      <c r="I1081" t="str">
        <f>SUMIFS(Szamlaszamok!E:E,Szamlaszamok!A:A,Szamlaszamok_nonduplicate!A1081)</f>
      </c>
    </row>
    <row r="1082" spans="1:9">
      <c r="A1082" t="s">
        <v>4031</v>
      </c>
      <c r="B1082" t="str">
        <f>VLOOKUP($A1082,Szamlaszamok!$A1081:F2637,2,FALSE)</f>
      </c>
      <c r="C1082" t="str">
        <f>VLOOKUP($A1082,Szamlaszamok!$A1081:F2637,3,FALSE)</f>
      </c>
      <c r="D1082" t="str">
        <f>VLOOKUP($A1082,Szamlaszamok!$A1081:F2637,4,FALSE)</f>
      </c>
      <c r="E1082" t="str">
        <f>DATE(YEAR(D1082),MONTH(D1082),DAY(D1082))</f>
      </c>
      <c r="F1082" t="str">
        <f>CONCATENATE(C1082,E1082)</f>
      </c>
      <c r="G1082" t="str">
        <f>TIMEVALUE(D1082)</f>
      </c>
      <c r="H1082" t="str">
        <f>COUNTIF(Szamlaszamok!A:A,A1082)</f>
      </c>
      <c r="I1082" t="str">
        <f>SUMIFS(Szamlaszamok!E:E,Szamlaszamok!A:A,Szamlaszamok_nonduplicate!A1082)</f>
      </c>
    </row>
    <row r="1083" spans="1:9">
      <c r="A1083" t="s">
        <v>4035</v>
      </c>
      <c r="B1083" t="str">
        <f>VLOOKUP($A1083,Szamlaszamok!$A1082:F2638,2,FALSE)</f>
      </c>
      <c r="C1083" t="str">
        <f>VLOOKUP($A1083,Szamlaszamok!$A1082:F2638,3,FALSE)</f>
      </c>
      <c r="D1083" t="str">
        <f>VLOOKUP($A1083,Szamlaszamok!$A1082:F2638,4,FALSE)</f>
      </c>
      <c r="E1083" t="str">
        <f>DATE(YEAR(D1083),MONTH(D1083),DAY(D1083))</f>
      </c>
      <c r="F1083" t="str">
        <f>CONCATENATE(C1083,E1083)</f>
      </c>
      <c r="G1083" t="str">
        <f>TIMEVALUE(D1083)</f>
      </c>
      <c r="H1083" t="str">
        <f>COUNTIF(Szamlaszamok!A:A,A1083)</f>
      </c>
      <c r="I1083" t="str">
        <f>SUMIFS(Szamlaszamok!E:E,Szamlaszamok!A:A,Szamlaszamok_nonduplicate!A1083)</f>
      </c>
    </row>
    <row r="1084" spans="1:9">
      <c r="A1084" t="s">
        <v>4039</v>
      </c>
      <c r="B1084" t="str">
        <f>VLOOKUP($A1084,Szamlaszamok!$A1083:F2639,2,FALSE)</f>
      </c>
      <c r="C1084" t="str">
        <f>VLOOKUP($A1084,Szamlaszamok!$A1083:F2639,3,FALSE)</f>
      </c>
      <c r="D1084" t="str">
        <f>VLOOKUP($A1084,Szamlaszamok!$A1083:F2639,4,FALSE)</f>
      </c>
      <c r="E1084" t="str">
        <f>DATE(YEAR(D1084),MONTH(D1084),DAY(D1084))</f>
      </c>
      <c r="F1084" t="str">
        <f>CONCATENATE(C1084,E1084)</f>
      </c>
      <c r="G1084" t="str">
        <f>TIMEVALUE(D1084)</f>
      </c>
      <c r="H1084" t="str">
        <f>COUNTIF(Szamlaszamok!A:A,A1084)</f>
      </c>
      <c r="I1084" t="str">
        <f>SUMIFS(Szamlaszamok!E:E,Szamlaszamok!A:A,Szamlaszamok_nonduplicate!A1084)</f>
      </c>
    </row>
    <row r="1085" spans="1:9">
      <c r="A1085" t="s">
        <v>4046</v>
      </c>
      <c r="B1085" t="str">
        <f>VLOOKUP($A1085,Szamlaszamok!$A1084:F2640,2,FALSE)</f>
      </c>
      <c r="C1085" t="str">
        <f>VLOOKUP($A1085,Szamlaszamok!$A1084:F2640,3,FALSE)</f>
      </c>
      <c r="D1085" t="str">
        <f>VLOOKUP($A1085,Szamlaszamok!$A1084:F2640,4,FALSE)</f>
      </c>
      <c r="E1085" t="str">
        <f>DATE(YEAR(D1085),MONTH(D1085),DAY(D1085))</f>
      </c>
      <c r="F1085" t="str">
        <f>CONCATENATE(C1085,E1085)</f>
      </c>
      <c r="G1085" t="str">
        <f>TIMEVALUE(D1085)</f>
      </c>
      <c r="H1085" t="str">
        <f>COUNTIF(Szamlaszamok!A:A,A1085)</f>
      </c>
      <c r="I1085" t="str">
        <f>SUMIFS(Szamlaszamok!E:E,Szamlaszamok!A:A,Szamlaszamok_nonduplicate!A1085)</f>
      </c>
    </row>
    <row r="1086" spans="1:9">
      <c r="A1086" t="s">
        <v>4051</v>
      </c>
      <c r="B1086" t="str">
        <f>VLOOKUP($A1086,Szamlaszamok!$A1085:F2641,2,FALSE)</f>
      </c>
      <c r="C1086" t="str">
        <f>VLOOKUP($A1086,Szamlaszamok!$A1085:F2641,3,FALSE)</f>
      </c>
      <c r="D1086" t="str">
        <f>VLOOKUP($A1086,Szamlaszamok!$A1085:F2641,4,FALSE)</f>
      </c>
      <c r="E1086" t="str">
        <f>DATE(YEAR(D1086),MONTH(D1086),DAY(D1086))</f>
      </c>
      <c r="F1086" t="str">
        <f>CONCATENATE(C1086,E1086)</f>
      </c>
      <c r="G1086" t="str">
        <f>TIMEVALUE(D1086)</f>
      </c>
      <c r="H1086" t="str">
        <f>COUNTIF(Szamlaszamok!A:A,A1086)</f>
      </c>
      <c r="I1086" t="str">
        <f>SUMIFS(Szamlaszamok!E:E,Szamlaszamok!A:A,Szamlaszamok_nonduplicate!A1086)</f>
      </c>
    </row>
    <row r="1087" spans="1:9">
      <c r="A1087" t="s">
        <v>4055</v>
      </c>
      <c r="B1087" t="str">
        <f>VLOOKUP($A1087,Szamlaszamok!$A1086:F2642,2,FALSE)</f>
      </c>
      <c r="C1087" t="str">
        <f>VLOOKUP($A1087,Szamlaszamok!$A1086:F2642,3,FALSE)</f>
      </c>
      <c r="D1087" t="str">
        <f>VLOOKUP($A1087,Szamlaszamok!$A1086:F2642,4,FALSE)</f>
      </c>
      <c r="E1087" t="str">
        <f>DATE(YEAR(D1087),MONTH(D1087),DAY(D1087))</f>
      </c>
      <c r="F1087" t="str">
        <f>CONCATENATE(C1087,E1087)</f>
      </c>
      <c r="G1087" t="str">
        <f>TIMEVALUE(D1087)</f>
      </c>
      <c r="H1087" t="str">
        <f>COUNTIF(Szamlaszamok!A:A,A1087)</f>
      </c>
      <c r="I1087" t="str">
        <f>SUMIFS(Szamlaszamok!E:E,Szamlaszamok!A:A,Szamlaszamok_nonduplicate!A1087)</f>
      </c>
    </row>
    <row r="1088" spans="1:9">
      <c r="A1088" t="s">
        <v>4060</v>
      </c>
      <c r="B1088" t="str">
        <f>VLOOKUP($A1088,Szamlaszamok!$A1087:F2643,2,FALSE)</f>
      </c>
      <c r="C1088" t="str">
        <f>VLOOKUP($A1088,Szamlaszamok!$A1087:F2643,3,FALSE)</f>
      </c>
      <c r="D1088" t="str">
        <f>VLOOKUP($A1088,Szamlaszamok!$A1087:F2643,4,FALSE)</f>
      </c>
      <c r="E1088" t="str">
        <f>DATE(YEAR(D1088),MONTH(D1088),DAY(D1088))</f>
      </c>
      <c r="F1088" t="str">
        <f>CONCATENATE(C1088,E1088)</f>
      </c>
      <c r="G1088" t="str">
        <f>TIMEVALUE(D1088)</f>
      </c>
      <c r="H1088" t="str">
        <f>COUNTIF(Szamlaszamok!A:A,A1088)</f>
      </c>
      <c r="I1088" t="str">
        <f>SUMIFS(Szamlaszamok!E:E,Szamlaszamok!A:A,Szamlaszamok_nonduplicate!A1088)</f>
      </c>
    </row>
    <row r="1089" spans="1:9">
      <c r="A1089" t="s">
        <v>4064</v>
      </c>
      <c r="B1089" t="str">
        <f>VLOOKUP($A1089,Szamlaszamok!$A1088:F2644,2,FALSE)</f>
      </c>
      <c r="C1089" t="str">
        <f>VLOOKUP($A1089,Szamlaszamok!$A1088:F2644,3,FALSE)</f>
      </c>
      <c r="D1089" t="str">
        <f>VLOOKUP($A1089,Szamlaszamok!$A1088:F2644,4,FALSE)</f>
      </c>
      <c r="E1089" t="str">
        <f>DATE(YEAR(D1089),MONTH(D1089),DAY(D1089))</f>
      </c>
      <c r="F1089" t="str">
        <f>CONCATENATE(C1089,E1089)</f>
      </c>
      <c r="G1089" t="str">
        <f>TIMEVALUE(D1089)</f>
      </c>
      <c r="H1089" t="str">
        <f>COUNTIF(Szamlaszamok!A:A,A1089)</f>
      </c>
      <c r="I1089" t="str">
        <f>SUMIFS(Szamlaszamok!E:E,Szamlaszamok!A:A,Szamlaszamok_nonduplicate!A1089)</f>
      </c>
    </row>
    <row r="1090" spans="1:9">
      <c r="A1090" t="s">
        <v>4068</v>
      </c>
      <c r="B1090" t="str">
        <f>VLOOKUP($A1090,Szamlaszamok!$A1089:F2645,2,FALSE)</f>
      </c>
      <c r="C1090" t="str">
        <f>VLOOKUP($A1090,Szamlaszamok!$A1089:F2645,3,FALSE)</f>
      </c>
      <c r="D1090" t="str">
        <f>VLOOKUP($A1090,Szamlaszamok!$A1089:F2645,4,FALSE)</f>
      </c>
      <c r="E1090" t="str">
        <f>DATE(YEAR(D1090),MONTH(D1090),DAY(D1090))</f>
      </c>
      <c r="F1090" t="str">
        <f>CONCATENATE(C1090,E1090)</f>
      </c>
      <c r="G1090" t="str">
        <f>TIMEVALUE(D1090)</f>
      </c>
      <c r="H1090" t="str">
        <f>COUNTIF(Szamlaszamok!A:A,A1090)</f>
      </c>
      <c r="I1090" t="str">
        <f>SUMIFS(Szamlaszamok!E:E,Szamlaszamok!A:A,Szamlaszamok_nonduplicate!A1090)</f>
      </c>
    </row>
    <row r="1091" spans="1:9">
      <c r="A1091" t="s">
        <v>4072</v>
      </c>
      <c r="B1091" t="str">
        <f>VLOOKUP($A1091,Szamlaszamok!$A1090:F2646,2,FALSE)</f>
      </c>
      <c r="C1091" t="str">
        <f>VLOOKUP($A1091,Szamlaszamok!$A1090:F2646,3,FALSE)</f>
      </c>
      <c r="D1091" t="str">
        <f>VLOOKUP($A1091,Szamlaszamok!$A1090:F2646,4,FALSE)</f>
      </c>
      <c r="E1091" t="str">
        <f>DATE(YEAR(D1091),MONTH(D1091),DAY(D1091))</f>
      </c>
      <c r="F1091" t="str">
        <f>CONCATENATE(C1091,E1091)</f>
      </c>
      <c r="G1091" t="str">
        <f>TIMEVALUE(D1091)</f>
      </c>
      <c r="H1091" t="str">
        <f>COUNTIF(Szamlaszamok!A:A,A1091)</f>
      </c>
      <c r="I1091" t="str">
        <f>SUMIFS(Szamlaszamok!E:E,Szamlaszamok!A:A,Szamlaszamok_nonduplicate!A1091)</f>
      </c>
    </row>
    <row r="1092" spans="1:9">
      <c r="A1092" t="s">
        <v>4076</v>
      </c>
      <c r="B1092" t="str">
        <f>VLOOKUP($A1092,Szamlaszamok!$A1091:F2647,2,FALSE)</f>
      </c>
      <c r="C1092" t="str">
        <f>VLOOKUP($A1092,Szamlaszamok!$A1091:F2647,3,FALSE)</f>
      </c>
      <c r="D1092" t="str">
        <f>VLOOKUP($A1092,Szamlaszamok!$A1091:F2647,4,FALSE)</f>
      </c>
      <c r="E1092" t="str">
        <f>DATE(YEAR(D1092),MONTH(D1092),DAY(D1092))</f>
      </c>
      <c r="F1092" t="str">
        <f>CONCATENATE(C1092,E1092)</f>
      </c>
      <c r="G1092" t="str">
        <f>TIMEVALUE(D1092)</f>
      </c>
      <c r="H1092" t="str">
        <f>COUNTIF(Szamlaszamok!A:A,A1092)</f>
      </c>
      <c r="I1092" t="str">
        <f>SUMIFS(Szamlaszamok!E:E,Szamlaszamok!A:A,Szamlaszamok_nonduplicate!A1092)</f>
      </c>
    </row>
    <row r="1093" spans="1:9">
      <c r="A1093" t="s">
        <v>4080</v>
      </c>
      <c r="B1093" t="str">
        <f>VLOOKUP($A1093,Szamlaszamok!$A1092:F2648,2,FALSE)</f>
      </c>
      <c r="C1093" t="str">
        <f>VLOOKUP($A1093,Szamlaszamok!$A1092:F2648,3,FALSE)</f>
      </c>
      <c r="D1093" t="str">
        <f>VLOOKUP($A1093,Szamlaszamok!$A1092:F2648,4,FALSE)</f>
      </c>
      <c r="E1093" t="str">
        <f>DATE(YEAR(D1093),MONTH(D1093),DAY(D1093))</f>
      </c>
      <c r="F1093" t="str">
        <f>CONCATENATE(C1093,E1093)</f>
      </c>
      <c r="G1093" t="str">
        <f>TIMEVALUE(D1093)</f>
      </c>
      <c r="H1093" t="str">
        <f>COUNTIF(Szamlaszamok!A:A,A1093)</f>
      </c>
      <c r="I1093" t="str">
        <f>SUMIFS(Szamlaszamok!E:E,Szamlaszamok!A:A,Szamlaszamok_nonduplicate!A1093)</f>
      </c>
    </row>
    <row r="1094" spans="1:9">
      <c r="A1094" t="s">
        <v>4085</v>
      </c>
      <c r="B1094" t="str">
        <f>VLOOKUP($A1094,Szamlaszamok!$A1093:F2649,2,FALSE)</f>
      </c>
      <c r="C1094" t="str">
        <f>VLOOKUP($A1094,Szamlaszamok!$A1093:F2649,3,FALSE)</f>
      </c>
      <c r="D1094" t="str">
        <f>VLOOKUP($A1094,Szamlaszamok!$A1093:F2649,4,FALSE)</f>
      </c>
      <c r="E1094" t="str">
        <f>DATE(YEAR(D1094),MONTH(D1094),DAY(D1094))</f>
      </c>
      <c r="F1094" t="str">
        <f>CONCATENATE(C1094,E1094)</f>
      </c>
      <c r="G1094" t="str">
        <f>TIMEVALUE(D1094)</f>
      </c>
      <c r="H1094" t="str">
        <f>COUNTIF(Szamlaszamok!A:A,A1094)</f>
      </c>
      <c r="I1094" t="str">
        <f>SUMIFS(Szamlaszamok!E:E,Szamlaszamok!A:A,Szamlaszamok_nonduplicate!A1094)</f>
      </c>
    </row>
    <row r="1095" spans="1:9">
      <c r="A1095" t="s">
        <v>4089</v>
      </c>
      <c r="B1095" t="str">
        <f>VLOOKUP($A1095,Szamlaszamok!$A1094:F2650,2,FALSE)</f>
      </c>
      <c r="C1095" t="str">
        <f>VLOOKUP($A1095,Szamlaszamok!$A1094:F2650,3,FALSE)</f>
      </c>
      <c r="D1095" t="str">
        <f>VLOOKUP($A1095,Szamlaszamok!$A1094:F2650,4,FALSE)</f>
      </c>
      <c r="E1095" t="str">
        <f>DATE(YEAR(D1095),MONTH(D1095),DAY(D1095))</f>
      </c>
      <c r="F1095" t="str">
        <f>CONCATENATE(C1095,E1095)</f>
      </c>
      <c r="G1095" t="str">
        <f>TIMEVALUE(D1095)</f>
      </c>
      <c r="H1095" t="str">
        <f>COUNTIF(Szamlaszamok!A:A,A1095)</f>
      </c>
      <c r="I1095" t="str">
        <f>SUMIFS(Szamlaszamok!E:E,Szamlaszamok!A:A,Szamlaszamok_nonduplicate!A1095)</f>
      </c>
    </row>
    <row r="1096" spans="1:9">
      <c r="A1096" t="s">
        <v>4093</v>
      </c>
      <c r="B1096" t="str">
        <f>VLOOKUP($A1096,Szamlaszamok!$A1095:F2651,2,FALSE)</f>
      </c>
      <c r="C1096" t="str">
        <f>VLOOKUP($A1096,Szamlaszamok!$A1095:F2651,3,FALSE)</f>
      </c>
      <c r="D1096" t="str">
        <f>VLOOKUP($A1096,Szamlaszamok!$A1095:F2651,4,FALSE)</f>
      </c>
      <c r="E1096" t="str">
        <f>DATE(YEAR(D1096),MONTH(D1096),DAY(D1096))</f>
      </c>
      <c r="F1096" t="str">
        <f>CONCATENATE(C1096,E1096)</f>
      </c>
      <c r="G1096" t="str">
        <f>TIMEVALUE(D1096)</f>
      </c>
      <c r="H1096" t="str">
        <f>COUNTIF(Szamlaszamok!A:A,A1096)</f>
      </c>
      <c r="I1096" t="str">
        <f>SUMIFS(Szamlaszamok!E:E,Szamlaszamok!A:A,Szamlaszamok_nonduplicate!A1096)</f>
      </c>
    </row>
    <row r="1097" spans="1:9">
      <c r="A1097" t="s">
        <v>4097</v>
      </c>
      <c r="B1097" t="str">
        <f>VLOOKUP($A1097,Szamlaszamok!$A1096:F2652,2,FALSE)</f>
      </c>
      <c r="C1097" t="str">
        <f>VLOOKUP($A1097,Szamlaszamok!$A1096:F2652,3,FALSE)</f>
      </c>
      <c r="D1097" t="str">
        <f>VLOOKUP($A1097,Szamlaszamok!$A1096:F2652,4,FALSE)</f>
      </c>
      <c r="E1097" t="str">
        <f>DATE(YEAR(D1097),MONTH(D1097),DAY(D1097))</f>
      </c>
      <c r="F1097" t="str">
        <f>CONCATENATE(C1097,E1097)</f>
      </c>
      <c r="G1097" t="str">
        <f>TIMEVALUE(D1097)</f>
      </c>
      <c r="H1097" t="str">
        <f>COUNTIF(Szamlaszamok!A:A,A1097)</f>
      </c>
      <c r="I1097" t="str">
        <f>SUMIFS(Szamlaszamok!E:E,Szamlaszamok!A:A,Szamlaszamok_nonduplicate!A1097)</f>
      </c>
    </row>
    <row r="1098" spans="1:9">
      <c r="A1098" t="s">
        <v>4102</v>
      </c>
      <c r="B1098" t="str">
        <f>VLOOKUP($A1098,Szamlaszamok!$A1097:F2653,2,FALSE)</f>
      </c>
      <c r="C1098" t="str">
        <f>VLOOKUP($A1098,Szamlaszamok!$A1097:F2653,3,FALSE)</f>
      </c>
      <c r="D1098" t="str">
        <f>VLOOKUP($A1098,Szamlaszamok!$A1097:F2653,4,FALSE)</f>
      </c>
      <c r="E1098" t="str">
        <f>DATE(YEAR(D1098),MONTH(D1098),DAY(D1098))</f>
      </c>
      <c r="F1098" t="str">
        <f>CONCATENATE(C1098,E1098)</f>
      </c>
      <c r="G1098" t="str">
        <f>TIMEVALUE(D1098)</f>
      </c>
      <c r="H1098" t="str">
        <f>COUNTIF(Szamlaszamok!A:A,A1098)</f>
      </c>
      <c r="I1098" t="str">
        <f>SUMIFS(Szamlaszamok!E:E,Szamlaszamok!A:A,Szamlaszamok_nonduplicate!A1098)</f>
      </c>
    </row>
    <row r="1099" spans="1:9">
      <c r="A1099" t="s">
        <v>4106</v>
      </c>
      <c r="B1099" t="str">
        <f>VLOOKUP($A1099,Szamlaszamok!$A1098:F2654,2,FALSE)</f>
      </c>
      <c r="C1099" t="str">
        <f>VLOOKUP($A1099,Szamlaszamok!$A1098:F2654,3,FALSE)</f>
      </c>
      <c r="D1099" t="str">
        <f>VLOOKUP($A1099,Szamlaszamok!$A1098:F2654,4,FALSE)</f>
      </c>
      <c r="E1099" t="str">
        <f>DATE(YEAR(D1099),MONTH(D1099),DAY(D1099))</f>
      </c>
      <c r="F1099" t="str">
        <f>CONCATENATE(C1099,E1099)</f>
      </c>
      <c r="G1099" t="str">
        <f>TIMEVALUE(D1099)</f>
      </c>
      <c r="H1099" t="str">
        <f>COUNTIF(Szamlaszamok!A:A,A1099)</f>
      </c>
      <c r="I1099" t="str">
        <f>SUMIFS(Szamlaszamok!E:E,Szamlaszamok!A:A,Szamlaszamok_nonduplicate!A1099)</f>
      </c>
    </row>
    <row r="1100" spans="1:9">
      <c r="A1100" t="s">
        <v>4109</v>
      </c>
      <c r="B1100" t="str">
        <f>VLOOKUP($A1100,Szamlaszamok!$A1099:F2655,2,FALSE)</f>
      </c>
      <c r="C1100" t="str">
        <f>VLOOKUP($A1100,Szamlaszamok!$A1099:F2655,3,FALSE)</f>
      </c>
      <c r="D1100" t="str">
        <f>VLOOKUP($A1100,Szamlaszamok!$A1099:F2655,4,FALSE)</f>
      </c>
      <c r="E1100" t="str">
        <f>DATE(YEAR(D1100),MONTH(D1100),DAY(D1100))</f>
      </c>
      <c r="F1100" t="str">
        <f>CONCATENATE(C1100,E1100)</f>
      </c>
      <c r="G1100" t="str">
        <f>TIMEVALUE(D1100)</f>
      </c>
      <c r="H1100" t="str">
        <f>COUNTIF(Szamlaszamok!A:A,A1100)</f>
      </c>
      <c r="I1100" t="str">
        <f>SUMIFS(Szamlaszamok!E:E,Szamlaszamok!A:A,Szamlaszamok_nonduplicate!A1100)</f>
      </c>
    </row>
    <row r="1101" spans="1:9">
      <c r="A1101" t="s">
        <v>4112</v>
      </c>
      <c r="B1101" t="str">
        <f>VLOOKUP($A1101,Szamlaszamok!$A1100:F2656,2,FALSE)</f>
      </c>
      <c r="C1101" t="str">
        <f>VLOOKUP($A1101,Szamlaszamok!$A1100:F2656,3,FALSE)</f>
      </c>
      <c r="D1101" t="str">
        <f>VLOOKUP($A1101,Szamlaszamok!$A1100:F2656,4,FALSE)</f>
      </c>
      <c r="E1101" t="str">
        <f>DATE(YEAR(D1101),MONTH(D1101),DAY(D1101))</f>
      </c>
      <c r="F1101" t="str">
        <f>CONCATENATE(C1101,E1101)</f>
      </c>
      <c r="G1101" t="str">
        <f>TIMEVALUE(D1101)</f>
      </c>
      <c r="H1101" t="str">
        <f>COUNTIF(Szamlaszamok!A:A,A1101)</f>
      </c>
      <c r="I1101" t="str">
        <f>SUMIFS(Szamlaszamok!E:E,Szamlaszamok!A:A,Szamlaszamok_nonduplicate!A1101)</f>
      </c>
    </row>
    <row r="1102" spans="1:9">
      <c r="A1102" t="s">
        <v>4114</v>
      </c>
      <c r="B1102" t="str">
        <f>VLOOKUP($A1102,Szamlaszamok!$A1101:F2657,2,FALSE)</f>
      </c>
      <c r="C1102" t="str">
        <f>VLOOKUP($A1102,Szamlaszamok!$A1101:F2657,3,FALSE)</f>
      </c>
      <c r="D1102" t="str">
        <f>VLOOKUP($A1102,Szamlaszamok!$A1101:F2657,4,FALSE)</f>
      </c>
      <c r="E1102" t="str">
        <f>DATE(YEAR(D1102),MONTH(D1102),DAY(D1102))</f>
      </c>
      <c r="F1102" t="str">
        <f>CONCATENATE(C1102,E1102)</f>
      </c>
      <c r="G1102" t="str">
        <f>TIMEVALUE(D1102)</f>
      </c>
      <c r="H1102" t="str">
        <f>COUNTIF(Szamlaszamok!A:A,A1102)</f>
      </c>
      <c r="I1102" t="str">
        <f>SUMIFS(Szamlaszamok!E:E,Szamlaszamok!A:A,Szamlaszamok_nonduplicate!A1102)</f>
      </c>
    </row>
    <row r="1103" spans="1:9">
      <c r="A1103" t="s">
        <v>4117</v>
      </c>
      <c r="B1103" t="str">
        <f>VLOOKUP($A1103,Szamlaszamok!$A1102:F2658,2,FALSE)</f>
      </c>
      <c r="C1103" t="str">
        <f>VLOOKUP($A1103,Szamlaszamok!$A1102:F2658,3,FALSE)</f>
      </c>
      <c r="D1103" t="str">
        <f>VLOOKUP($A1103,Szamlaszamok!$A1102:F2658,4,FALSE)</f>
      </c>
      <c r="E1103" t="str">
        <f>DATE(YEAR(D1103),MONTH(D1103),DAY(D1103))</f>
      </c>
      <c r="F1103" t="str">
        <f>CONCATENATE(C1103,E1103)</f>
      </c>
      <c r="G1103" t="str">
        <f>TIMEVALUE(D1103)</f>
      </c>
      <c r="H1103" t="str">
        <f>COUNTIF(Szamlaszamok!A:A,A1103)</f>
      </c>
      <c r="I1103" t="str">
        <f>SUMIFS(Szamlaszamok!E:E,Szamlaszamok!A:A,Szamlaszamok_nonduplicate!A1103)</f>
      </c>
    </row>
    <row r="1104" spans="1:9">
      <c r="A1104" t="s">
        <v>4120</v>
      </c>
      <c r="B1104" t="str">
        <f>VLOOKUP($A1104,Szamlaszamok!$A1103:F2659,2,FALSE)</f>
      </c>
      <c r="C1104" t="str">
        <f>VLOOKUP($A1104,Szamlaszamok!$A1103:F2659,3,FALSE)</f>
      </c>
      <c r="D1104" t="str">
        <f>VLOOKUP($A1104,Szamlaszamok!$A1103:F2659,4,FALSE)</f>
      </c>
      <c r="E1104" t="str">
        <f>DATE(YEAR(D1104),MONTH(D1104),DAY(D1104))</f>
      </c>
      <c r="F1104" t="str">
        <f>CONCATENATE(C1104,E1104)</f>
      </c>
      <c r="G1104" t="str">
        <f>TIMEVALUE(D1104)</f>
      </c>
      <c r="H1104" t="str">
        <f>COUNTIF(Szamlaszamok!A:A,A1104)</f>
      </c>
      <c r="I1104" t="str">
        <f>SUMIFS(Szamlaszamok!E:E,Szamlaszamok!A:A,Szamlaszamok_nonduplicate!A1104)</f>
      </c>
    </row>
    <row r="1105" spans="1:9">
      <c r="A1105" t="s">
        <v>4125</v>
      </c>
      <c r="B1105" t="str">
        <f>VLOOKUP($A1105,Szamlaszamok!$A1104:F2660,2,FALSE)</f>
      </c>
      <c r="C1105" t="str">
        <f>VLOOKUP($A1105,Szamlaszamok!$A1104:F2660,3,FALSE)</f>
      </c>
      <c r="D1105" t="str">
        <f>VLOOKUP($A1105,Szamlaszamok!$A1104:F2660,4,FALSE)</f>
      </c>
      <c r="E1105" t="str">
        <f>DATE(YEAR(D1105),MONTH(D1105),DAY(D1105))</f>
      </c>
      <c r="F1105" t="str">
        <f>CONCATENATE(C1105,E1105)</f>
      </c>
      <c r="G1105" t="str">
        <f>TIMEVALUE(D1105)</f>
      </c>
      <c r="H1105" t="str">
        <f>COUNTIF(Szamlaszamok!A:A,A1105)</f>
      </c>
      <c r="I1105" t="str">
        <f>SUMIFS(Szamlaszamok!E:E,Szamlaszamok!A:A,Szamlaszamok_nonduplicate!A1105)</f>
      </c>
    </row>
    <row r="1106" spans="1:9">
      <c r="A1106" t="s">
        <v>4129</v>
      </c>
      <c r="B1106" t="str">
        <f>VLOOKUP($A1106,Szamlaszamok!$A1105:F2661,2,FALSE)</f>
      </c>
      <c r="C1106" t="str">
        <f>VLOOKUP($A1106,Szamlaszamok!$A1105:F2661,3,FALSE)</f>
      </c>
      <c r="D1106" t="str">
        <f>VLOOKUP($A1106,Szamlaszamok!$A1105:F2661,4,FALSE)</f>
      </c>
      <c r="E1106" t="str">
        <f>DATE(YEAR(D1106),MONTH(D1106),DAY(D1106))</f>
      </c>
      <c r="F1106" t="str">
        <f>CONCATENATE(C1106,E1106)</f>
      </c>
      <c r="G1106" t="str">
        <f>TIMEVALUE(D1106)</f>
      </c>
      <c r="H1106" t="str">
        <f>COUNTIF(Szamlaszamok!A:A,A1106)</f>
      </c>
      <c r="I1106" t="str">
        <f>SUMIFS(Szamlaszamok!E:E,Szamlaszamok!A:A,Szamlaszamok_nonduplicate!A1106)</f>
      </c>
    </row>
    <row r="1107" spans="1:9">
      <c r="A1107" t="s">
        <v>4132</v>
      </c>
      <c r="B1107" t="str">
        <f>VLOOKUP($A1107,Szamlaszamok!$A1106:F2662,2,FALSE)</f>
      </c>
      <c r="C1107" t="str">
        <f>VLOOKUP($A1107,Szamlaszamok!$A1106:F2662,3,FALSE)</f>
      </c>
      <c r="D1107" t="str">
        <f>VLOOKUP($A1107,Szamlaszamok!$A1106:F2662,4,FALSE)</f>
      </c>
      <c r="E1107" t="str">
        <f>DATE(YEAR(D1107),MONTH(D1107),DAY(D1107))</f>
      </c>
      <c r="F1107" t="str">
        <f>CONCATENATE(C1107,E1107)</f>
      </c>
      <c r="G1107" t="str">
        <f>TIMEVALUE(D1107)</f>
      </c>
      <c r="H1107" t="str">
        <f>COUNTIF(Szamlaszamok!A:A,A1107)</f>
      </c>
      <c r="I1107" t="str">
        <f>SUMIFS(Szamlaszamok!E:E,Szamlaszamok!A:A,Szamlaszamok_nonduplicate!A1107)</f>
      </c>
    </row>
    <row r="1108" spans="1:9">
      <c r="A1108" t="s">
        <v>4137</v>
      </c>
      <c r="B1108" t="str">
        <f>VLOOKUP($A1108,Szamlaszamok!$A1107:F2663,2,FALSE)</f>
      </c>
      <c r="C1108" t="str">
        <f>VLOOKUP($A1108,Szamlaszamok!$A1107:F2663,3,FALSE)</f>
      </c>
      <c r="D1108" t="str">
        <f>VLOOKUP($A1108,Szamlaszamok!$A1107:F2663,4,FALSE)</f>
      </c>
      <c r="E1108" t="str">
        <f>DATE(YEAR(D1108),MONTH(D1108),DAY(D1108))</f>
      </c>
      <c r="F1108" t="str">
        <f>CONCATENATE(C1108,E1108)</f>
      </c>
      <c r="G1108" t="str">
        <f>TIMEVALUE(D1108)</f>
      </c>
      <c r="H1108" t="str">
        <f>COUNTIF(Szamlaszamok!A:A,A1108)</f>
      </c>
      <c r="I1108" t="str">
        <f>SUMIFS(Szamlaszamok!E:E,Szamlaszamok!A:A,Szamlaszamok_nonduplicate!A1108)</f>
      </c>
    </row>
    <row r="1109" spans="1:9">
      <c r="A1109" t="s">
        <v>4139</v>
      </c>
      <c r="B1109" t="str">
        <f>VLOOKUP($A1109,Szamlaszamok!$A1108:F2664,2,FALSE)</f>
      </c>
      <c r="C1109" t="str">
        <f>VLOOKUP($A1109,Szamlaszamok!$A1108:F2664,3,FALSE)</f>
      </c>
      <c r="D1109" t="str">
        <f>VLOOKUP($A1109,Szamlaszamok!$A1108:F2664,4,FALSE)</f>
      </c>
      <c r="E1109" t="str">
        <f>DATE(YEAR(D1109),MONTH(D1109),DAY(D1109))</f>
      </c>
      <c r="F1109" t="str">
        <f>CONCATENATE(C1109,E1109)</f>
      </c>
      <c r="G1109" t="str">
        <f>TIMEVALUE(D1109)</f>
      </c>
      <c r="H1109" t="str">
        <f>COUNTIF(Szamlaszamok!A:A,A1109)</f>
      </c>
      <c r="I1109" t="str">
        <f>SUMIFS(Szamlaszamok!E:E,Szamlaszamok!A:A,Szamlaszamok_nonduplicate!A1109)</f>
      </c>
    </row>
    <row r="1110" spans="1:9">
      <c r="A1110" t="s">
        <v>4143</v>
      </c>
      <c r="B1110" t="str">
        <f>VLOOKUP($A1110,Szamlaszamok!$A1109:F2665,2,FALSE)</f>
      </c>
      <c r="C1110" t="str">
        <f>VLOOKUP($A1110,Szamlaszamok!$A1109:F2665,3,FALSE)</f>
      </c>
      <c r="D1110" t="str">
        <f>VLOOKUP($A1110,Szamlaszamok!$A1109:F2665,4,FALSE)</f>
      </c>
      <c r="E1110" t="str">
        <f>DATE(YEAR(D1110),MONTH(D1110),DAY(D1110))</f>
      </c>
      <c r="F1110" t="str">
        <f>CONCATENATE(C1110,E1110)</f>
      </c>
      <c r="G1110" t="str">
        <f>TIMEVALUE(D1110)</f>
      </c>
      <c r="H1110" t="str">
        <f>COUNTIF(Szamlaszamok!A:A,A1110)</f>
      </c>
      <c r="I1110" t="str">
        <f>SUMIFS(Szamlaszamok!E:E,Szamlaszamok!A:A,Szamlaszamok_nonduplicate!A1110)</f>
      </c>
    </row>
    <row r="1111" spans="1:9">
      <c r="A1111" t="s">
        <v>4147</v>
      </c>
      <c r="B1111" t="str">
        <f>VLOOKUP($A1111,Szamlaszamok!$A1110:F2666,2,FALSE)</f>
      </c>
      <c r="C1111" t="str">
        <f>VLOOKUP($A1111,Szamlaszamok!$A1110:F2666,3,FALSE)</f>
      </c>
      <c r="D1111" t="str">
        <f>VLOOKUP($A1111,Szamlaszamok!$A1110:F2666,4,FALSE)</f>
      </c>
      <c r="E1111" t="str">
        <f>DATE(YEAR(D1111),MONTH(D1111),DAY(D1111))</f>
      </c>
      <c r="F1111" t="str">
        <f>CONCATENATE(C1111,E1111)</f>
      </c>
      <c r="G1111" t="str">
        <f>TIMEVALUE(D1111)</f>
      </c>
      <c r="H1111" t="str">
        <f>COUNTIF(Szamlaszamok!A:A,A1111)</f>
      </c>
      <c r="I1111" t="str">
        <f>SUMIFS(Szamlaszamok!E:E,Szamlaszamok!A:A,Szamlaszamok_nonduplicate!A1111)</f>
      </c>
    </row>
    <row r="1112" spans="1:9">
      <c r="A1112" t="s">
        <v>4150</v>
      </c>
      <c r="B1112" t="str">
        <f>VLOOKUP($A1112,Szamlaszamok!$A1111:F2667,2,FALSE)</f>
      </c>
      <c r="C1112" t="str">
        <f>VLOOKUP($A1112,Szamlaszamok!$A1111:F2667,3,FALSE)</f>
      </c>
      <c r="D1112" t="str">
        <f>VLOOKUP($A1112,Szamlaszamok!$A1111:F2667,4,FALSE)</f>
      </c>
      <c r="E1112" t="str">
        <f>DATE(YEAR(D1112),MONTH(D1112),DAY(D1112))</f>
      </c>
      <c r="F1112" t="str">
        <f>CONCATENATE(C1112,E1112)</f>
      </c>
      <c r="G1112" t="str">
        <f>TIMEVALUE(D1112)</f>
      </c>
      <c r="H1112" t="str">
        <f>COUNTIF(Szamlaszamok!A:A,A1112)</f>
      </c>
      <c r="I1112" t="str">
        <f>SUMIFS(Szamlaszamok!E:E,Szamlaszamok!A:A,Szamlaszamok_nonduplicate!A1112)</f>
      </c>
    </row>
    <row r="1113" spans="1:9">
      <c r="A1113" t="s">
        <v>4154</v>
      </c>
      <c r="B1113" t="str">
        <f>VLOOKUP($A1113,Szamlaszamok!$A1112:F2668,2,FALSE)</f>
      </c>
      <c r="C1113" t="str">
        <f>VLOOKUP($A1113,Szamlaszamok!$A1112:F2668,3,FALSE)</f>
      </c>
      <c r="D1113" t="str">
        <f>VLOOKUP($A1113,Szamlaszamok!$A1112:F2668,4,FALSE)</f>
      </c>
      <c r="E1113" t="str">
        <f>DATE(YEAR(D1113),MONTH(D1113),DAY(D1113))</f>
      </c>
      <c r="F1113" t="str">
        <f>CONCATENATE(C1113,E1113)</f>
      </c>
      <c r="G1113" t="str">
        <f>TIMEVALUE(D1113)</f>
      </c>
      <c r="H1113" t="str">
        <f>COUNTIF(Szamlaszamok!A:A,A1113)</f>
      </c>
      <c r="I1113" t="str">
        <f>SUMIFS(Szamlaszamok!E:E,Szamlaszamok!A:A,Szamlaszamok_nonduplicate!A1113)</f>
      </c>
    </row>
    <row r="1114" spans="1:9">
      <c r="A1114" t="s">
        <v>4159</v>
      </c>
      <c r="B1114" t="str">
        <f>VLOOKUP($A1114,Szamlaszamok!$A1113:F2669,2,FALSE)</f>
      </c>
      <c r="C1114" t="str">
        <f>VLOOKUP($A1114,Szamlaszamok!$A1113:F2669,3,FALSE)</f>
      </c>
      <c r="D1114" t="str">
        <f>VLOOKUP($A1114,Szamlaszamok!$A1113:F2669,4,FALSE)</f>
      </c>
      <c r="E1114" t="str">
        <f>DATE(YEAR(D1114),MONTH(D1114),DAY(D1114))</f>
      </c>
      <c r="F1114" t="str">
        <f>CONCATENATE(C1114,E1114)</f>
      </c>
      <c r="G1114" t="str">
        <f>TIMEVALUE(D1114)</f>
      </c>
      <c r="H1114" t="str">
        <f>COUNTIF(Szamlaszamok!A:A,A1114)</f>
      </c>
      <c r="I1114" t="str">
        <f>SUMIFS(Szamlaszamok!E:E,Szamlaszamok!A:A,Szamlaszamok_nonduplicate!A1114)</f>
      </c>
    </row>
    <row r="1115" spans="1:9">
      <c r="A1115" t="s">
        <v>4163</v>
      </c>
      <c r="B1115" t="str">
        <f>VLOOKUP($A1115,Szamlaszamok!$A1114:F2670,2,FALSE)</f>
      </c>
      <c r="C1115" t="str">
        <f>VLOOKUP($A1115,Szamlaszamok!$A1114:F2670,3,FALSE)</f>
      </c>
      <c r="D1115" t="str">
        <f>VLOOKUP($A1115,Szamlaszamok!$A1114:F2670,4,FALSE)</f>
      </c>
      <c r="E1115" t="str">
        <f>DATE(YEAR(D1115),MONTH(D1115),DAY(D1115))</f>
      </c>
      <c r="F1115" t="str">
        <f>CONCATENATE(C1115,E1115)</f>
      </c>
      <c r="G1115" t="str">
        <f>TIMEVALUE(D1115)</f>
      </c>
      <c r="H1115" t="str">
        <f>COUNTIF(Szamlaszamok!A:A,A1115)</f>
      </c>
      <c r="I1115" t="str">
        <f>SUMIFS(Szamlaszamok!E:E,Szamlaszamok!A:A,Szamlaszamok_nonduplicate!A1115)</f>
      </c>
    </row>
    <row r="1116" spans="1:9">
      <c r="A1116" t="s">
        <v>4165</v>
      </c>
      <c r="B1116" t="str">
        <f>VLOOKUP($A1116,Szamlaszamok!$A1115:F2671,2,FALSE)</f>
      </c>
      <c r="C1116" t="str">
        <f>VLOOKUP($A1116,Szamlaszamok!$A1115:F2671,3,FALSE)</f>
      </c>
      <c r="D1116" t="str">
        <f>VLOOKUP($A1116,Szamlaszamok!$A1115:F2671,4,FALSE)</f>
      </c>
      <c r="E1116" t="str">
        <f>DATE(YEAR(D1116),MONTH(D1116),DAY(D1116))</f>
      </c>
      <c r="F1116" t="str">
        <f>CONCATENATE(C1116,E1116)</f>
      </c>
      <c r="G1116" t="str">
        <f>TIMEVALUE(D1116)</f>
      </c>
      <c r="H1116" t="str">
        <f>COUNTIF(Szamlaszamok!A:A,A1116)</f>
      </c>
      <c r="I1116" t="str">
        <f>SUMIFS(Szamlaszamok!E:E,Szamlaszamok!A:A,Szamlaszamok_nonduplicate!A1116)</f>
      </c>
    </row>
    <row r="1117" spans="1:9">
      <c r="A1117" t="s">
        <v>4169</v>
      </c>
      <c r="B1117" t="str">
        <f>VLOOKUP($A1117,Szamlaszamok!$A1116:F2672,2,FALSE)</f>
      </c>
      <c r="C1117" t="str">
        <f>VLOOKUP($A1117,Szamlaszamok!$A1116:F2672,3,FALSE)</f>
      </c>
      <c r="D1117" t="str">
        <f>VLOOKUP($A1117,Szamlaszamok!$A1116:F2672,4,FALSE)</f>
      </c>
      <c r="E1117" t="str">
        <f>DATE(YEAR(D1117),MONTH(D1117),DAY(D1117))</f>
      </c>
      <c r="F1117" t="str">
        <f>CONCATENATE(C1117,E1117)</f>
      </c>
      <c r="G1117" t="str">
        <f>TIMEVALUE(D1117)</f>
      </c>
      <c r="H1117" t="str">
        <f>COUNTIF(Szamlaszamok!A:A,A1117)</f>
      </c>
      <c r="I1117" t="str">
        <f>SUMIFS(Szamlaszamok!E:E,Szamlaszamok!A:A,Szamlaszamok_nonduplicate!A1117)</f>
      </c>
    </row>
    <row r="1118" spans="1:9">
      <c r="A1118" t="s">
        <v>4173</v>
      </c>
      <c r="B1118" t="str">
        <f>VLOOKUP($A1118,Szamlaszamok!$A1117:F2673,2,FALSE)</f>
      </c>
      <c r="C1118" t="str">
        <f>VLOOKUP($A1118,Szamlaszamok!$A1117:F2673,3,FALSE)</f>
      </c>
      <c r="D1118" t="str">
        <f>VLOOKUP($A1118,Szamlaszamok!$A1117:F2673,4,FALSE)</f>
      </c>
      <c r="E1118" t="str">
        <f>DATE(YEAR(D1118),MONTH(D1118),DAY(D1118))</f>
      </c>
      <c r="F1118" t="str">
        <f>CONCATENATE(C1118,E1118)</f>
      </c>
      <c r="G1118" t="str">
        <f>TIMEVALUE(D1118)</f>
      </c>
      <c r="H1118" t="str">
        <f>COUNTIF(Szamlaszamok!A:A,A1118)</f>
      </c>
      <c r="I1118" t="str">
        <f>SUMIFS(Szamlaszamok!E:E,Szamlaszamok!A:A,Szamlaszamok_nonduplicate!A1118)</f>
      </c>
    </row>
    <row r="1119" spans="1:9">
      <c r="A1119" t="s">
        <v>4175</v>
      </c>
      <c r="B1119" t="str">
        <f>VLOOKUP($A1119,Szamlaszamok!$A1118:F2674,2,FALSE)</f>
      </c>
      <c r="C1119" t="str">
        <f>VLOOKUP($A1119,Szamlaszamok!$A1118:F2674,3,FALSE)</f>
      </c>
      <c r="D1119" t="str">
        <f>VLOOKUP($A1119,Szamlaszamok!$A1118:F2674,4,FALSE)</f>
      </c>
      <c r="E1119" t="str">
        <f>DATE(YEAR(D1119),MONTH(D1119),DAY(D1119))</f>
      </c>
      <c r="F1119" t="str">
        <f>CONCATENATE(C1119,E1119)</f>
      </c>
      <c r="G1119" t="str">
        <f>TIMEVALUE(D1119)</f>
      </c>
      <c r="H1119" t="str">
        <f>COUNTIF(Szamlaszamok!A:A,A1119)</f>
      </c>
      <c r="I1119" t="str">
        <f>SUMIFS(Szamlaszamok!E:E,Szamlaszamok!A:A,Szamlaszamok_nonduplicate!A1119)</f>
      </c>
    </row>
    <row r="1120" spans="1:9">
      <c r="A1120" t="s">
        <v>4179</v>
      </c>
      <c r="B1120" t="str">
        <f>VLOOKUP($A1120,Szamlaszamok!$A1119:F2675,2,FALSE)</f>
      </c>
      <c r="C1120" t="str">
        <f>VLOOKUP($A1120,Szamlaszamok!$A1119:F2675,3,FALSE)</f>
      </c>
      <c r="D1120" t="str">
        <f>VLOOKUP($A1120,Szamlaszamok!$A1119:F2675,4,FALSE)</f>
      </c>
      <c r="E1120" t="str">
        <f>DATE(YEAR(D1120),MONTH(D1120),DAY(D1120))</f>
      </c>
      <c r="F1120" t="str">
        <f>CONCATENATE(C1120,E1120)</f>
      </c>
      <c r="G1120" t="str">
        <f>TIMEVALUE(D1120)</f>
      </c>
      <c r="H1120" t="str">
        <f>COUNTIF(Szamlaszamok!A:A,A1120)</f>
      </c>
      <c r="I1120" t="str">
        <f>SUMIFS(Szamlaszamok!E:E,Szamlaszamok!A:A,Szamlaszamok_nonduplicate!A1120)</f>
      </c>
    </row>
    <row r="1121" spans="1:9">
      <c r="A1121" t="s">
        <v>4183</v>
      </c>
      <c r="B1121" t="str">
        <f>VLOOKUP($A1121,Szamlaszamok!$A1120:F2676,2,FALSE)</f>
      </c>
      <c r="C1121" t="str">
        <f>VLOOKUP($A1121,Szamlaszamok!$A1120:F2676,3,FALSE)</f>
      </c>
      <c r="D1121" t="str">
        <f>VLOOKUP($A1121,Szamlaszamok!$A1120:F2676,4,FALSE)</f>
      </c>
      <c r="E1121" t="str">
        <f>DATE(YEAR(D1121),MONTH(D1121),DAY(D1121))</f>
      </c>
      <c r="F1121" t="str">
        <f>CONCATENATE(C1121,E1121)</f>
      </c>
      <c r="G1121" t="str">
        <f>TIMEVALUE(D1121)</f>
      </c>
      <c r="H1121" t="str">
        <f>COUNTIF(Szamlaszamok!A:A,A1121)</f>
      </c>
      <c r="I1121" t="str">
        <f>SUMIFS(Szamlaszamok!E:E,Szamlaszamok!A:A,Szamlaszamok_nonduplicate!A1121)</f>
      </c>
    </row>
    <row r="1122" spans="1:9">
      <c r="A1122" t="s">
        <v>4188</v>
      </c>
      <c r="B1122" t="str">
        <f>VLOOKUP($A1122,Szamlaszamok!$A1121:F2677,2,FALSE)</f>
      </c>
      <c r="C1122" t="str">
        <f>VLOOKUP($A1122,Szamlaszamok!$A1121:F2677,3,FALSE)</f>
      </c>
      <c r="D1122" t="str">
        <f>VLOOKUP($A1122,Szamlaszamok!$A1121:F2677,4,FALSE)</f>
      </c>
      <c r="E1122" t="str">
        <f>DATE(YEAR(D1122),MONTH(D1122),DAY(D1122))</f>
      </c>
      <c r="F1122" t="str">
        <f>CONCATENATE(C1122,E1122)</f>
      </c>
      <c r="G1122" t="str">
        <f>TIMEVALUE(D1122)</f>
      </c>
      <c r="H1122" t="str">
        <f>COUNTIF(Szamlaszamok!A:A,A1122)</f>
      </c>
      <c r="I1122" t="str">
        <f>SUMIFS(Szamlaszamok!E:E,Szamlaszamok!A:A,Szamlaszamok_nonduplicate!A1122)</f>
      </c>
    </row>
    <row r="1123" spans="1:9">
      <c r="A1123" t="s">
        <v>4193</v>
      </c>
      <c r="B1123" t="str">
        <f>VLOOKUP($A1123,Szamlaszamok!$A1122:F2678,2,FALSE)</f>
      </c>
      <c r="C1123" t="str">
        <f>VLOOKUP($A1123,Szamlaszamok!$A1122:F2678,3,FALSE)</f>
      </c>
      <c r="D1123" t="str">
        <f>VLOOKUP($A1123,Szamlaszamok!$A1122:F2678,4,FALSE)</f>
      </c>
      <c r="E1123" t="str">
        <f>DATE(YEAR(D1123),MONTH(D1123),DAY(D1123))</f>
      </c>
      <c r="F1123" t="str">
        <f>CONCATENATE(C1123,E1123)</f>
      </c>
      <c r="G1123" t="str">
        <f>TIMEVALUE(D1123)</f>
      </c>
      <c r="H1123" t="str">
        <f>COUNTIF(Szamlaszamok!A:A,A1123)</f>
      </c>
      <c r="I1123" t="str">
        <f>SUMIFS(Szamlaszamok!E:E,Szamlaszamok!A:A,Szamlaszamok_nonduplicate!A1123)</f>
      </c>
    </row>
    <row r="1124" spans="1:9">
      <c r="A1124" t="s">
        <v>4197</v>
      </c>
      <c r="B1124" t="str">
        <f>VLOOKUP($A1124,Szamlaszamok!$A1123:F2679,2,FALSE)</f>
      </c>
      <c r="C1124" t="str">
        <f>VLOOKUP($A1124,Szamlaszamok!$A1123:F2679,3,FALSE)</f>
      </c>
      <c r="D1124" t="str">
        <f>VLOOKUP($A1124,Szamlaszamok!$A1123:F2679,4,FALSE)</f>
      </c>
      <c r="E1124" t="str">
        <f>DATE(YEAR(D1124),MONTH(D1124),DAY(D1124))</f>
      </c>
      <c r="F1124" t="str">
        <f>CONCATENATE(C1124,E1124)</f>
      </c>
      <c r="G1124" t="str">
        <f>TIMEVALUE(D1124)</f>
      </c>
      <c r="H1124" t="str">
        <f>COUNTIF(Szamlaszamok!A:A,A1124)</f>
      </c>
      <c r="I1124" t="str">
        <f>SUMIFS(Szamlaszamok!E:E,Szamlaszamok!A:A,Szamlaszamok_nonduplicate!A1124)</f>
      </c>
    </row>
    <row r="1125" spans="1:9">
      <c r="A1125" t="s">
        <v>4201</v>
      </c>
      <c r="B1125" t="str">
        <f>VLOOKUP($A1125,Szamlaszamok!$A1124:F2680,2,FALSE)</f>
      </c>
      <c r="C1125" t="str">
        <f>VLOOKUP($A1125,Szamlaszamok!$A1124:F2680,3,FALSE)</f>
      </c>
      <c r="D1125" t="str">
        <f>VLOOKUP($A1125,Szamlaszamok!$A1124:F2680,4,FALSE)</f>
      </c>
      <c r="E1125" t="str">
        <f>DATE(YEAR(D1125),MONTH(D1125),DAY(D1125))</f>
      </c>
      <c r="F1125" t="str">
        <f>CONCATENATE(C1125,E1125)</f>
      </c>
      <c r="G1125" t="str">
        <f>TIMEVALUE(D1125)</f>
      </c>
      <c r="H1125" t="str">
        <f>COUNTIF(Szamlaszamok!A:A,A1125)</f>
      </c>
      <c r="I1125" t="str">
        <f>SUMIFS(Szamlaszamok!E:E,Szamlaszamok!A:A,Szamlaszamok_nonduplicate!A1125)</f>
      </c>
    </row>
    <row r="1126" spans="1:9">
      <c r="A1126" t="s">
        <v>4204</v>
      </c>
      <c r="B1126" t="str">
        <f>VLOOKUP($A1126,Szamlaszamok!$A1125:F2681,2,FALSE)</f>
      </c>
      <c r="C1126" t="str">
        <f>VLOOKUP($A1126,Szamlaszamok!$A1125:F2681,3,FALSE)</f>
      </c>
      <c r="D1126" t="str">
        <f>VLOOKUP($A1126,Szamlaszamok!$A1125:F2681,4,FALSE)</f>
      </c>
      <c r="E1126" t="str">
        <f>DATE(YEAR(D1126),MONTH(D1126),DAY(D1126))</f>
      </c>
      <c r="F1126" t="str">
        <f>CONCATENATE(C1126,E1126)</f>
      </c>
      <c r="G1126" t="str">
        <f>TIMEVALUE(D1126)</f>
      </c>
      <c r="H1126" t="str">
        <f>COUNTIF(Szamlaszamok!A:A,A1126)</f>
      </c>
      <c r="I1126" t="str">
        <f>SUMIFS(Szamlaszamok!E:E,Szamlaszamok!A:A,Szamlaszamok_nonduplicate!A1126)</f>
      </c>
    </row>
    <row r="1127" spans="1:9">
      <c r="A1127" t="s">
        <v>4206</v>
      </c>
      <c r="B1127" t="str">
        <f>VLOOKUP($A1127,Szamlaszamok!$A1126:F2682,2,FALSE)</f>
      </c>
      <c r="C1127" t="str">
        <f>VLOOKUP($A1127,Szamlaszamok!$A1126:F2682,3,FALSE)</f>
      </c>
      <c r="D1127" t="str">
        <f>VLOOKUP($A1127,Szamlaszamok!$A1126:F2682,4,FALSE)</f>
      </c>
      <c r="E1127" t="str">
        <f>DATE(YEAR(D1127),MONTH(D1127),DAY(D1127))</f>
      </c>
      <c r="F1127" t="str">
        <f>CONCATENATE(C1127,E1127)</f>
      </c>
      <c r="G1127" t="str">
        <f>TIMEVALUE(D1127)</f>
      </c>
      <c r="H1127" t="str">
        <f>COUNTIF(Szamlaszamok!A:A,A1127)</f>
      </c>
      <c r="I1127" t="str">
        <f>SUMIFS(Szamlaszamok!E:E,Szamlaszamok!A:A,Szamlaszamok_nonduplicate!A1127)</f>
      </c>
    </row>
    <row r="1128" spans="1:9">
      <c r="A1128" t="s">
        <v>4208</v>
      </c>
      <c r="B1128" t="str">
        <f>VLOOKUP($A1128,Szamlaszamok!$A1127:F2683,2,FALSE)</f>
      </c>
      <c r="C1128" t="str">
        <f>VLOOKUP($A1128,Szamlaszamok!$A1127:F2683,3,FALSE)</f>
      </c>
      <c r="D1128" t="str">
        <f>VLOOKUP($A1128,Szamlaszamok!$A1127:F2683,4,FALSE)</f>
      </c>
      <c r="E1128" t="str">
        <f>DATE(YEAR(D1128),MONTH(D1128),DAY(D1128))</f>
      </c>
      <c r="F1128" t="str">
        <f>CONCATENATE(C1128,E1128)</f>
      </c>
      <c r="G1128" t="str">
        <f>TIMEVALUE(D1128)</f>
      </c>
      <c r="H1128" t="str">
        <f>COUNTIF(Szamlaszamok!A:A,A1128)</f>
      </c>
      <c r="I1128" t="str">
        <f>SUMIFS(Szamlaszamok!E:E,Szamlaszamok!A:A,Szamlaszamok_nonduplicate!A1128)</f>
      </c>
    </row>
    <row r="1129" spans="1:9">
      <c r="A1129" t="s">
        <v>4212</v>
      </c>
      <c r="B1129" t="str">
        <f>VLOOKUP($A1129,Szamlaszamok!$A1128:F2684,2,FALSE)</f>
      </c>
      <c r="C1129" t="str">
        <f>VLOOKUP($A1129,Szamlaszamok!$A1128:F2684,3,FALSE)</f>
      </c>
      <c r="D1129" t="str">
        <f>VLOOKUP($A1129,Szamlaszamok!$A1128:F2684,4,FALSE)</f>
      </c>
      <c r="E1129" t="str">
        <f>DATE(YEAR(D1129),MONTH(D1129),DAY(D1129))</f>
      </c>
      <c r="F1129" t="str">
        <f>CONCATENATE(C1129,E1129)</f>
      </c>
      <c r="G1129" t="str">
        <f>TIMEVALUE(D1129)</f>
      </c>
      <c r="H1129" t="str">
        <f>COUNTIF(Szamlaszamok!A:A,A1129)</f>
      </c>
      <c r="I1129" t="str">
        <f>SUMIFS(Szamlaszamok!E:E,Szamlaszamok!A:A,Szamlaszamok_nonduplicate!A1129)</f>
      </c>
    </row>
    <row r="1130" spans="1:9">
      <c r="A1130" t="s">
        <v>4215</v>
      </c>
      <c r="B1130" t="str">
        <f>VLOOKUP($A1130,Szamlaszamok!$A1129:F2685,2,FALSE)</f>
      </c>
      <c r="C1130" t="str">
        <f>VLOOKUP($A1130,Szamlaszamok!$A1129:F2685,3,FALSE)</f>
      </c>
      <c r="D1130" t="str">
        <f>VLOOKUP($A1130,Szamlaszamok!$A1129:F2685,4,FALSE)</f>
      </c>
      <c r="E1130" t="str">
        <f>DATE(YEAR(D1130),MONTH(D1130),DAY(D1130))</f>
      </c>
      <c r="F1130" t="str">
        <f>CONCATENATE(C1130,E1130)</f>
      </c>
      <c r="G1130" t="str">
        <f>TIMEVALUE(D1130)</f>
      </c>
      <c r="H1130" t="str">
        <f>COUNTIF(Szamlaszamok!A:A,A1130)</f>
      </c>
      <c r="I1130" t="str">
        <f>SUMIFS(Szamlaszamok!E:E,Szamlaszamok!A:A,Szamlaszamok_nonduplicate!A1130)</f>
      </c>
    </row>
    <row r="1131" spans="1:9">
      <c r="A1131" t="s">
        <v>4218</v>
      </c>
      <c r="B1131" t="str">
        <f>VLOOKUP($A1131,Szamlaszamok!$A1130:F2686,2,FALSE)</f>
      </c>
      <c r="C1131" t="str">
        <f>VLOOKUP($A1131,Szamlaszamok!$A1130:F2686,3,FALSE)</f>
      </c>
      <c r="D1131" t="str">
        <f>VLOOKUP($A1131,Szamlaszamok!$A1130:F2686,4,FALSE)</f>
      </c>
      <c r="E1131" t="str">
        <f>DATE(YEAR(D1131),MONTH(D1131),DAY(D1131))</f>
      </c>
      <c r="F1131" t="str">
        <f>CONCATENATE(C1131,E1131)</f>
      </c>
      <c r="G1131" t="str">
        <f>TIMEVALUE(D1131)</f>
      </c>
      <c r="H1131" t="str">
        <f>COUNTIF(Szamlaszamok!A:A,A1131)</f>
      </c>
      <c r="I1131" t="str">
        <f>SUMIFS(Szamlaszamok!E:E,Szamlaszamok!A:A,Szamlaszamok_nonduplicate!A1131)</f>
      </c>
    </row>
    <row r="1132" spans="1:9">
      <c r="A1132" t="s">
        <v>4220</v>
      </c>
      <c r="B1132" t="str">
        <f>VLOOKUP($A1132,Szamlaszamok!$A1131:F2687,2,FALSE)</f>
      </c>
      <c r="C1132" t="str">
        <f>VLOOKUP($A1132,Szamlaszamok!$A1131:F2687,3,FALSE)</f>
      </c>
      <c r="D1132" t="str">
        <f>VLOOKUP($A1132,Szamlaszamok!$A1131:F2687,4,FALSE)</f>
      </c>
      <c r="E1132" t="str">
        <f>DATE(YEAR(D1132),MONTH(D1132),DAY(D1132))</f>
      </c>
      <c r="F1132" t="str">
        <f>CONCATENATE(C1132,E1132)</f>
      </c>
      <c r="G1132" t="str">
        <f>TIMEVALUE(D1132)</f>
      </c>
      <c r="H1132" t="str">
        <f>COUNTIF(Szamlaszamok!A:A,A1132)</f>
      </c>
      <c r="I1132" t="str">
        <f>SUMIFS(Szamlaszamok!E:E,Szamlaszamok!A:A,Szamlaszamok_nonduplicate!A1132)</f>
      </c>
    </row>
    <row r="1133" spans="1:9">
      <c r="A1133" t="s">
        <v>4225</v>
      </c>
      <c r="B1133" t="str">
        <f>VLOOKUP($A1133,Szamlaszamok!$A1132:F2688,2,FALSE)</f>
      </c>
      <c r="C1133" t="str">
        <f>VLOOKUP($A1133,Szamlaszamok!$A1132:F2688,3,FALSE)</f>
      </c>
      <c r="D1133" t="str">
        <f>VLOOKUP($A1133,Szamlaszamok!$A1132:F2688,4,FALSE)</f>
      </c>
      <c r="E1133" t="str">
        <f>DATE(YEAR(D1133),MONTH(D1133),DAY(D1133))</f>
      </c>
      <c r="F1133" t="str">
        <f>CONCATENATE(C1133,E1133)</f>
      </c>
      <c r="G1133" t="str">
        <f>TIMEVALUE(D1133)</f>
      </c>
      <c r="H1133" t="str">
        <f>COUNTIF(Szamlaszamok!A:A,A1133)</f>
      </c>
      <c r="I1133" t="str">
        <f>SUMIFS(Szamlaszamok!E:E,Szamlaszamok!A:A,Szamlaszamok_nonduplicate!A1133)</f>
      </c>
    </row>
    <row r="1134" spans="1:9">
      <c r="A1134" t="s">
        <v>4229</v>
      </c>
      <c r="B1134" t="str">
        <f>VLOOKUP($A1134,Szamlaszamok!$A1133:F2689,2,FALSE)</f>
      </c>
      <c r="C1134" t="str">
        <f>VLOOKUP($A1134,Szamlaszamok!$A1133:F2689,3,FALSE)</f>
      </c>
      <c r="D1134" t="str">
        <f>VLOOKUP($A1134,Szamlaszamok!$A1133:F2689,4,FALSE)</f>
      </c>
      <c r="E1134" t="str">
        <f>DATE(YEAR(D1134),MONTH(D1134),DAY(D1134))</f>
      </c>
      <c r="F1134" t="str">
        <f>CONCATENATE(C1134,E1134)</f>
      </c>
      <c r="G1134" t="str">
        <f>TIMEVALUE(D1134)</f>
      </c>
      <c r="H1134" t="str">
        <f>COUNTIF(Szamlaszamok!A:A,A1134)</f>
      </c>
      <c r="I1134" t="str">
        <f>SUMIFS(Szamlaszamok!E:E,Szamlaszamok!A:A,Szamlaszamok_nonduplicate!A1134)</f>
      </c>
    </row>
    <row r="1135" spans="1:9">
      <c r="A1135" t="s">
        <v>4233</v>
      </c>
      <c r="B1135" t="str">
        <f>VLOOKUP($A1135,Szamlaszamok!$A1134:F2690,2,FALSE)</f>
      </c>
      <c r="C1135" t="str">
        <f>VLOOKUP($A1135,Szamlaszamok!$A1134:F2690,3,FALSE)</f>
      </c>
      <c r="D1135" t="str">
        <f>VLOOKUP($A1135,Szamlaszamok!$A1134:F2690,4,FALSE)</f>
      </c>
      <c r="E1135" t="str">
        <f>DATE(YEAR(D1135),MONTH(D1135),DAY(D1135))</f>
      </c>
      <c r="F1135" t="str">
        <f>CONCATENATE(C1135,E1135)</f>
      </c>
      <c r="G1135" t="str">
        <f>TIMEVALUE(D1135)</f>
      </c>
      <c r="H1135" t="str">
        <f>COUNTIF(Szamlaszamok!A:A,A1135)</f>
      </c>
      <c r="I1135" t="str">
        <f>SUMIFS(Szamlaszamok!E:E,Szamlaszamok!A:A,Szamlaszamok_nonduplicate!A1135)</f>
      </c>
    </row>
    <row r="1136" spans="1:9">
      <c r="A1136" t="s">
        <v>4237</v>
      </c>
      <c r="B1136" t="str">
        <f>VLOOKUP($A1136,Szamlaszamok!$A1135:F2691,2,FALSE)</f>
      </c>
      <c r="C1136" t="str">
        <f>VLOOKUP($A1136,Szamlaszamok!$A1135:F2691,3,FALSE)</f>
      </c>
      <c r="D1136" t="str">
        <f>VLOOKUP($A1136,Szamlaszamok!$A1135:F2691,4,FALSE)</f>
      </c>
      <c r="E1136" t="str">
        <f>DATE(YEAR(D1136),MONTH(D1136),DAY(D1136))</f>
      </c>
      <c r="F1136" t="str">
        <f>CONCATENATE(C1136,E1136)</f>
      </c>
      <c r="G1136" t="str">
        <f>TIMEVALUE(D1136)</f>
      </c>
      <c r="H1136" t="str">
        <f>COUNTIF(Szamlaszamok!A:A,A1136)</f>
      </c>
      <c r="I1136" t="str">
        <f>SUMIFS(Szamlaszamok!E:E,Szamlaszamok!A:A,Szamlaszamok_nonduplicate!A1136)</f>
      </c>
    </row>
    <row r="1137" spans="1:9">
      <c r="A1137" t="s">
        <v>4241</v>
      </c>
      <c r="B1137" t="str">
        <f>VLOOKUP($A1137,Szamlaszamok!$A1136:F2692,2,FALSE)</f>
      </c>
      <c r="C1137" t="str">
        <f>VLOOKUP($A1137,Szamlaszamok!$A1136:F2692,3,FALSE)</f>
      </c>
      <c r="D1137" t="str">
        <f>VLOOKUP($A1137,Szamlaszamok!$A1136:F2692,4,FALSE)</f>
      </c>
      <c r="E1137" t="str">
        <f>DATE(YEAR(D1137),MONTH(D1137),DAY(D1137))</f>
      </c>
      <c r="F1137" t="str">
        <f>CONCATENATE(C1137,E1137)</f>
      </c>
      <c r="G1137" t="str">
        <f>TIMEVALUE(D1137)</f>
      </c>
      <c r="H1137" t="str">
        <f>COUNTIF(Szamlaszamok!A:A,A1137)</f>
      </c>
      <c r="I1137" t="str">
        <f>SUMIFS(Szamlaszamok!E:E,Szamlaszamok!A:A,Szamlaszamok_nonduplicate!A1137)</f>
      </c>
    </row>
    <row r="1138" spans="1:9">
      <c r="A1138" t="s">
        <v>4245</v>
      </c>
      <c r="B1138" t="str">
        <f>VLOOKUP($A1138,Szamlaszamok!$A1137:F2693,2,FALSE)</f>
      </c>
      <c r="C1138" t="str">
        <f>VLOOKUP($A1138,Szamlaszamok!$A1137:F2693,3,FALSE)</f>
      </c>
      <c r="D1138" t="str">
        <f>VLOOKUP($A1138,Szamlaszamok!$A1137:F2693,4,FALSE)</f>
      </c>
      <c r="E1138" t="str">
        <f>DATE(YEAR(D1138),MONTH(D1138),DAY(D1138))</f>
      </c>
      <c r="F1138" t="str">
        <f>CONCATENATE(C1138,E1138)</f>
      </c>
      <c r="G1138" t="str">
        <f>TIMEVALUE(D1138)</f>
      </c>
      <c r="H1138" t="str">
        <f>COUNTIF(Szamlaszamok!A:A,A1138)</f>
      </c>
      <c r="I1138" t="str">
        <f>SUMIFS(Szamlaszamok!E:E,Szamlaszamok!A:A,Szamlaszamok_nonduplicate!A1138)</f>
      </c>
    </row>
    <row r="1139" spans="1:9">
      <c r="A1139" t="s">
        <v>4249</v>
      </c>
      <c r="B1139" t="str">
        <f>VLOOKUP($A1139,Szamlaszamok!$A1138:F2694,2,FALSE)</f>
      </c>
      <c r="C1139" t="str">
        <f>VLOOKUP($A1139,Szamlaszamok!$A1138:F2694,3,FALSE)</f>
      </c>
      <c r="D1139" t="str">
        <f>VLOOKUP($A1139,Szamlaszamok!$A1138:F2694,4,FALSE)</f>
      </c>
      <c r="E1139" t="str">
        <f>DATE(YEAR(D1139),MONTH(D1139),DAY(D1139))</f>
      </c>
      <c r="F1139" t="str">
        <f>CONCATENATE(C1139,E1139)</f>
      </c>
      <c r="G1139" t="str">
        <f>TIMEVALUE(D1139)</f>
      </c>
      <c r="H1139" t="str">
        <f>COUNTIF(Szamlaszamok!A:A,A1139)</f>
      </c>
      <c r="I1139" t="str">
        <f>SUMIFS(Szamlaszamok!E:E,Szamlaszamok!A:A,Szamlaszamok_nonduplicate!A1139)</f>
      </c>
    </row>
    <row r="1140" spans="1:9">
      <c r="A1140" t="s">
        <v>4253</v>
      </c>
      <c r="B1140" t="str">
        <f>VLOOKUP($A1140,Szamlaszamok!$A1139:F2695,2,FALSE)</f>
      </c>
      <c r="C1140" t="str">
        <f>VLOOKUP($A1140,Szamlaszamok!$A1139:F2695,3,FALSE)</f>
      </c>
      <c r="D1140" t="str">
        <f>VLOOKUP($A1140,Szamlaszamok!$A1139:F2695,4,FALSE)</f>
      </c>
      <c r="E1140" t="str">
        <f>DATE(YEAR(D1140),MONTH(D1140),DAY(D1140))</f>
      </c>
      <c r="F1140" t="str">
        <f>CONCATENATE(C1140,E1140)</f>
      </c>
      <c r="G1140" t="str">
        <f>TIMEVALUE(D1140)</f>
      </c>
      <c r="H1140" t="str">
        <f>COUNTIF(Szamlaszamok!A:A,A1140)</f>
      </c>
      <c r="I1140" t="str">
        <f>SUMIFS(Szamlaszamok!E:E,Szamlaszamok!A:A,Szamlaszamok_nonduplicate!A1140)</f>
      </c>
    </row>
    <row r="1141" spans="1:9">
      <c r="A1141" t="s">
        <v>4257</v>
      </c>
      <c r="B1141" t="str">
        <f>VLOOKUP($A1141,Szamlaszamok!$A1140:F2696,2,FALSE)</f>
      </c>
      <c r="C1141" t="str">
        <f>VLOOKUP($A1141,Szamlaszamok!$A1140:F2696,3,FALSE)</f>
      </c>
      <c r="D1141" t="str">
        <f>VLOOKUP($A1141,Szamlaszamok!$A1140:F2696,4,FALSE)</f>
      </c>
      <c r="E1141" t="str">
        <f>DATE(YEAR(D1141),MONTH(D1141),DAY(D1141))</f>
      </c>
      <c r="F1141" t="str">
        <f>CONCATENATE(C1141,E1141)</f>
      </c>
      <c r="G1141" t="str">
        <f>TIMEVALUE(D1141)</f>
      </c>
      <c r="H1141" t="str">
        <f>COUNTIF(Szamlaszamok!A:A,A1141)</f>
      </c>
      <c r="I1141" t="str">
        <f>SUMIFS(Szamlaszamok!E:E,Szamlaszamok!A:A,Szamlaszamok_nonduplicate!A1141)</f>
      </c>
    </row>
    <row r="1142" spans="1:9">
      <c r="A1142" t="s">
        <v>4262</v>
      </c>
      <c r="B1142" t="str">
        <f>VLOOKUP($A1142,Szamlaszamok!$A1141:F2697,2,FALSE)</f>
      </c>
      <c r="C1142" t="str">
        <f>VLOOKUP($A1142,Szamlaszamok!$A1141:F2697,3,FALSE)</f>
      </c>
      <c r="D1142" t="str">
        <f>VLOOKUP($A1142,Szamlaszamok!$A1141:F2697,4,FALSE)</f>
      </c>
      <c r="E1142" t="str">
        <f>DATE(YEAR(D1142),MONTH(D1142),DAY(D1142))</f>
      </c>
      <c r="F1142" t="str">
        <f>CONCATENATE(C1142,E1142)</f>
      </c>
      <c r="G1142" t="str">
        <f>TIMEVALUE(D1142)</f>
      </c>
      <c r="H1142" t="str">
        <f>COUNTIF(Szamlaszamok!A:A,A1142)</f>
      </c>
      <c r="I1142" t="str">
        <f>SUMIFS(Szamlaszamok!E:E,Szamlaszamok!A:A,Szamlaszamok_nonduplicate!A1142)</f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4267</v>
      </c>
      <c r="B1" t="s">
        <v>4268</v>
      </c>
      <c r="C1" t="s">
        <v>4269</v>
      </c>
    </row>
    <row r="2" spans="1:3">
      <c r="A2" t="s">
        <v>10</v>
      </c>
      <c r="B2" t="str">
        <f>COUNTIF(Szamlaszamok!F:F,A2)</f>
      </c>
      <c r="C2" t="str">
        <f>INDEX(Szamlaszamok!E:E,MATCH(A2,Szamlaszamok!F:F,0))</f>
      </c>
    </row>
    <row r="3" spans="1:3">
      <c r="A3" t="s">
        <v>27</v>
      </c>
      <c r="B3" t="str">
        <f>COUNTIF(Szamlaszamok!F:F,A3)</f>
      </c>
      <c r="C3" t="str">
        <f>INDEX(Szamlaszamok!E:E,MATCH(A3,Szamlaszamok!F:F,0))</f>
      </c>
    </row>
    <row r="4" spans="1:3">
      <c r="A4" t="s">
        <v>43</v>
      </c>
      <c r="B4" t="str">
        <f>COUNTIF(Szamlaszamok!F:F,A4)</f>
      </c>
      <c r="C4" t="str">
        <f>INDEX(Szamlaszamok!E:E,MATCH(A4,Szamlaszamok!F:F,0))</f>
      </c>
    </row>
    <row r="5" spans="1:3">
      <c r="A5" t="s">
        <v>48</v>
      </c>
      <c r="B5" t="str">
        <f>COUNTIF(Szamlaszamok!F:F,A5)</f>
      </c>
      <c r="C5" t="str">
        <f>INDEX(Szamlaszamok!E:E,MATCH(A5,Szamlaszamok!F:F,0))</f>
      </c>
    </row>
    <row r="6" spans="1:3">
      <c r="A6" t="s">
        <v>71</v>
      </c>
      <c r="B6" t="str">
        <f>COUNTIF(Szamlaszamok!F:F,A6)</f>
      </c>
      <c r="C6" t="str">
        <f>INDEX(Szamlaszamok!E:E,MATCH(A6,Szamlaszamok!F:F,0))</f>
      </c>
    </row>
    <row r="7" spans="1:3">
      <c r="A7" t="s">
        <v>96</v>
      </c>
      <c r="B7" t="str">
        <f>COUNTIF(Szamlaszamok!F:F,A7)</f>
      </c>
      <c r="C7" t="str">
        <f>INDEX(Szamlaszamok!E:E,MATCH(A7,Szamlaszamok!F:F,0))</f>
      </c>
    </row>
    <row r="8" spans="1:3">
      <c r="A8" t="s">
        <v>100</v>
      </c>
      <c r="B8" t="str">
        <f>COUNTIF(Szamlaszamok!F:F,A8)</f>
      </c>
      <c r="C8" t="str">
        <f>INDEX(Szamlaszamok!E:E,MATCH(A8,Szamlaszamok!F:F,0))</f>
      </c>
    </row>
    <row r="9" spans="1:3">
      <c r="A9" t="s">
        <v>104</v>
      </c>
      <c r="B9" t="str">
        <f>COUNTIF(Szamlaszamok!F:F,A9)</f>
      </c>
      <c r="C9" t="str">
        <f>INDEX(Szamlaszamok!E:E,MATCH(A9,Szamlaszamok!F:F,0))</f>
      </c>
    </row>
    <row r="10" spans="1:3">
      <c r="A10" t="s">
        <v>117</v>
      </c>
      <c r="B10" t="str">
        <f>COUNTIF(Szamlaszamok!F:F,A10)</f>
      </c>
      <c r="C10" t="str">
        <f>INDEX(Szamlaszamok!E:E,MATCH(A10,Szamlaszamok!F:F,0))</f>
      </c>
    </row>
    <row r="11" spans="1:3">
      <c r="A11" t="s">
        <v>134</v>
      </c>
      <c r="B11" t="str">
        <f>COUNTIF(Szamlaszamok!F:F,A11)</f>
      </c>
      <c r="C11" t="str">
        <f>INDEX(Szamlaszamok!E:E,MATCH(A11,Szamlaszamok!F:F,0))</f>
      </c>
    </row>
    <row r="12" spans="1:3">
      <c r="A12" t="s">
        <v>175</v>
      </c>
      <c r="B12" t="str">
        <f>COUNTIF(Szamlaszamok!F:F,A12)</f>
      </c>
      <c r="C12" t="str">
        <f>INDEX(Szamlaszamok!E:E,MATCH(A12,Szamlaszamok!F:F,0))</f>
      </c>
    </row>
    <row r="13" spans="1:3">
      <c r="A13" t="s">
        <v>180</v>
      </c>
      <c r="B13" t="str">
        <f>COUNTIF(Szamlaszamok!F:F,A13)</f>
      </c>
      <c r="C13" t="str">
        <f>INDEX(Szamlaszamok!E:E,MATCH(A13,Szamlaszamok!F:F,0))</f>
      </c>
    </row>
    <row r="14" spans="1:3">
      <c r="A14" t="s">
        <v>185</v>
      </c>
      <c r="B14" t="str">
        <f>COUNTIF(Szamlaszamok!F:F,A14)</f>
      </c>
      <c r="C14" t="str">
        <f>INDEX(Szamlaszamok!E:E,MATCH(A14,Szamlaszamok!F:F,0))</f>
      </c>
    </row>
    <row r="15" spans="1:3">
      <c r="A15" t="s">
        <v>201</v>
      </c>
      <c r="B15" t="str">
        <f>COUNTIF(Szamlaszamok!F:F,A15)</f>
      </c>
      <c r="C15" t="str">
        <f>INDEX(Szamlaszamok!E:E,MATCH(A15,Szamlaszamok!F:F,0))</f>
      </c>
    </row>
    <row r="16" spans="1:3">
      <c r="A16" t="s">
        <v>210</v>
      </c>
      <c r="B16" t="str">
        <f>COUNTIF(Szamlaszamok!F:F,A16)</f>
      </c>
      <c r="C16" t="str">
        <f>INDEX(Szamlaszamok!E:E,MATCH(A16,Szamlaszamok!F:F,0))</f>
      </c>
    </row>
    <row r="17" spans="1:3">
      <c r="A17" t="s">
        <v>223</v>
      </c>
      <c r="B17" t="str">
        <f>COUNTIF(Szamlaszamok!F:F,A17)</f>
      </c>
      <c r="C17" t="str">
        <f>INDEX(Szamlaszamok!E:E,MATCH(A17,Szamlaszamok!F:F,0))</f>
      </c>
    </row>
    <row r="18" spans="1:3">
      <c r="A18" t="s">
        <v>224</v>
      </c>
      <c r="B18" t="str">
        <f>COUNTIF(Szamlaszamok!F:F,A18)</f>
      </c>
      <c r="C18" t="str">
        <f>INDEX(Szamlaszamok!E:E,MATCH(A18,Szamlaszamok!F:F,0))</f>
      </c>
    </row>
    <row r="19" spans="1:3">
      <c r="A19" t="s">
        <v>225</v>
      </c>
      <c r="B19" t="str">
        <f>COUNTIF(Szamlaszamok!F:F,A19)</f>
      </c>
      <c r="C19" t="str">
        <f>INDEX(Szamlaszamok!E:E,MATCH(A19,Szamlaszamok!F:F,0))</f>
      </c>
    </row>
    <row r="20" spans="1:3">
      <c r="A20" t="s">
        <v>254</v>
      </c>
      <c r="B20" t="str">
        <f>COUNTIF(Szamlaszamok!F:F,A20)</f>
      </c>
      <c r="C20" t="str">
        <f>INDEX(Szamlaszamok!E:E,MATCH(A20,Szamlaszamok!F:F,0))</f>
      </c>
    </row>
    <row r="21" spans="1:3">
      <c r="A21" t="s">
        <v>259</v>
      </c>
      <c r="B21" t="str">
        <f>COUNTIF(Szamlaszamok!F:F,A21)</f>
      </c>
      <c r="C21" t="str">
        <f>INDEX(Szamlaszamok!E:E,MATCH(A21,Szamlaszamok!F:F,0))</f>
      </c>
    </row>
    <row r="22" spans="1:3">
      <c r="A22" t="s">
        <v>279</v>
      </c>
      <c r="B22" t="str">
        <f>COUNTIF(Szamlaszamok!F:F,A22)</f>
      </c>
      <c r="C22" t="str">
        <f>INDEX(Szamlaszamok!E:E,MATCH(A22,Szamlaszamok!F:F,0))</f>
      </c>
    </row>
    <row r="23" spans="1:3">
      <c r="A23" t="s">
        <v>284</v>
      </c>
      <c r="B23" t="str">
        <f>COUNTIF(Szamlaszamok!F:F,A23)</f>
      </c>
      <c r="C23" t="str">
        <f>INDEX(Szamlaszamok!E:E,MATCH(A23,Szamlaszamok!F:F,0))</f>
      </c>
    </row>
    <row r="24" spans="1:3">
      <c r="A24" t="s">
        <v>285</v>
      </c>
      <c r="B24" t="str">
        <f>COUNTIF(Szamlaszamok!F:F,A24)</f>
      </c>
      <c r="C24" t="str">
        <f>INDEX(Szamlaszamok!E:E,MATCH(A24,Szamlaszamok!F:F,0))</f>
      </c>
    </row>
    <row r="25" spans="1:3">
      <c r="A25" t="s">
        <v>286</v>
      </c>
      <c r="B25" t="str">
        <f>COUNTIF(Szamlaszamok!F:F,A25)</f>
      </c>
      <c r="C25" t="str">
        <f>INDEX(Szamlaszamok!E:E,MATCH(A25,Szamlaszamok!F:F,0))</f>
      </c>
    </row>
    <row r="26" spans="1:3">
      <c r="A26" t="s">
        <v>287</v>
      </c>
      <c r="B26" t="str">
        <f>COUNTIF(Szamlaszamok!F:F,A26)</f>
      </c>
      <c r="C26" t="str">
        <f>INDEX(Szamlaszamok!E:E,MATCH(A26,Szamlaszamok!F:F,0))</f>
      </c>
    </row>
    <row r="27" spans="1:3">
      <c r="A27" t="s">
        <v>294</v>
      </c>
      <c r="B27" t="str">
        <f>COUNTIF(Szamlaszamok!F:F,A27)</f>
      </c>
      <c r="C27" t="str">
        <f>INDEX(Szamlaszamok!E:E,MATCH(A27,Szamlaszamok!F:F,0))</f>
      </c>
    </row>
    <row r="28" spans="1:3">
      <c r="A28" t="s">
        <v>299</v>
      </c>
      <c r="B28" t="str">
        <f>COUNTIF(Szamlaszamok!F:F,A28)</f>
      </c>
      <c r="C28" t="str">
        <f>INDEX(Szamlaszamok!E:E,MATCH(A28,Szamlaszamok!F:F,0))</f>
      </c>
    </row>
    <row r="29" spans="1:3">
      <c r="A29" t="s">
        <v>304</v>
      </c>
      <c r="B29" t="str">
        <f>COUNTIF(Szamlaszamok!F:F,A29)</f>
      </c>
      <c r="C29" t="str">
        <f>INDEX(Szamlaszamok!E:E,MATCH(A29,Szamlaszamok!F:F,0))</f>
      </c>
    </row>
    <row r="30" spans="1:3">
      <c r="A30" t="s">
        <v>309</v>
      </c>
      <c r="B30" t="str">
        <f>COUNTIF(Szamlaszamok!F:F,A30)</f>
      </c>
      <c r="C30" t="str">
        <f>INDEX(Szamlaszamok!E:E,MATCH(A30,Szamlaszamok!F:F,0))</f>
      </c>
    </row>
    <row r="31" spans="1:3">
      <c r="A31" t="s">
        <v>331</v>
      </c>
      <c r="B31" t="str">
        <f>COUNTIF(Szamlaszamok!F:F,A31)</f>
      </c>
      <c r="C31" t="str">
        <f>INDEX(Szamlaszamok!E:E,MATCH(A31,Szamlaszamok!F:F,0))</f>
      </c>
    </row>
    <row r="32" spans="1:3">
      <c r="A32" t="s">
        <v>340</v>
      </c>
      <c r="B32" t="str">
        <f>COUNTIF(Szamlaszamok!F:F,A32)</f>
      </c>
      <c r="C32" t="str">
        <f>INDEX(Szamlaszamok!E:E,MATCH(A32,Szamlaszamok!F:F,0))</f>
      </c>
    </row>
    <row r="33" spans="1:3">
      <c r="A33" t="s">
        <v>345</v>
      </c>
      <c r="B33" t="str">
        <f>COUNTIF(Szamlaszamok!F:F,A33)</f>
      </c>
      <c r="C33" t="str">
        <f>INDEX(Szamlaszamok!E:E,MATCH(A33,Szamlaszamok!F:F,0))</f>
      </c>
    </row>
    <row r="34" spans="1:3">
      <c r="A34" t="s">
        <v>350</v>
      </c>
      <c r="B34" t="str">
        <f>COUNTIF(Szamlaszamok!F:F,A34)</f>
      </c>
      <c r="C34" t="str">
        <f>INDEX(Szamlaszamok!E:E,MATCH(A34,Szamlaszamok!F:F,0))</f>
      </c>
    </row>
    <row r="35" spans="1:3">
      <c r="A35" t="s">
        <v>351</v>
      </c>
      <c r="B35" t="str">
        <f>COUNTIF(Szamlaszamok!F:F,A35)</f>
      </c>
      <c r="C35" t="str">
        <f>INDEX(Szamlaszamok!E:E,MATCH(A35,Szamlaszamok!F:F,0))</f>
      </c>
    </row>
    <row r="36" spans="1:3">
      <c r="A36" t="s">
        <v>352</v>
      </c>
      <c r="B36" t="str">
        <f>COUNTIF(Szamlaszamok!F:F,A36)</f>
      </c>
      <c r="C36" t="str">
        <f>INDEX(Szamlaszamok!E:E,MATCH(A36,Szamlaszamok!F:F,0))</f>
      </c>
    </row>
    <row r="37" spans="1:3">
      <c r="A37" t="s">
        <v>361</v>
      </c>
      <c r="B37" t="str">
        <f>COUNTIF(Szamlaszamok!F:F,A37)</f>
      </c>
      <c r="C37" t="str">
        <f>INDEX(Szamlaszamok!E:E,MATCH(A37,Szamlaszamok!F:F,0))</f>
      </c>
    </row>
    <row r="38" spans="1:3">
      <c r="A38" t="s">
        <v>1349</v>
      </c>
      <c r="B38" t="str">
        <f>COUNTIF(Szamlaszamok!F:F,A38)</f>
      </c>
      <c r="C38" t="str">
        <f>INDEX(Szamlaszamok!E:E,MATCH(A38,Szamlaszamok!F:F,0))</f>
      </c>
    </row>
    <row r="39" spans="1:3">
      <c r="A39" t="s">
        <v>1350</v>
      </c>
      <c r="B39" t="str">
        <f>COUNTIF(Szamlaszamok!F:F,A39)</f>
      </c>
      <c r="C39" t="str">
        <f>INDEX(Szamlaszamok!E:E,MATCH(A39,Szamlaszamok!F:F,0))</f>
      </c>
    </row>
    <row r="40" spans="1:3">
      <c r="A40" t="s">
        <v>1351</v>
      </c>
      <c r="B40" t="str">
        <f>COUNTIF(Szamlaszamok!F:F,A40)</f>
      </c>
      <c r="C40" t="str">
        <f>INDEX(Szamlaszamok!E:E,MATCH(A40,Szamlaszamok!F:F,0))</f>
      </c>
    </row>
    <row r="41" spans="1:3">
      <c r="A41" t="s">
        <v>1352</v>
      </c>
      <c r="B41" t="str">
        <f>COUNTIF(Szamlaszamok!F:F,A41)</f>
      </c>
      <c r="C41" t="str">
        <f>INDEX(Szamlaszamok!E:E,MATCH(A41,Szamlaszamok!F:F,0))</f>
      </c>
    </row>
    <row r="42" spans="1:3">
      <c r="A42" t="s">
        <v>1353</v>
      </c>
      <c r="B42" t="str">
        <f>COUNTIF(Szamlaszamok!F:F,A42)</f>
      </c>
      <c r="C42" t="str">
        <f>INDEX(Szamlaszamok!E:E,MATCH(A42,Szamlaszamok!F:F,0))</f>
      </c>
    </row>
    <row r="43" spans="1:3">
      <c r="A43" t="s">
        <v>1354</v>
      </c>
      <c r="B43" t="str">
        <f>COUNTIF(Szamlaszamok!F:F,A43)</f>
      </c>
      <c r="C43" t="str">
        <f>INDEX(Szamlaszamok!E:E,MATCH(A43,Szamlaszamok!F:F,0))</f>
      </c>
    </row>
    <row r="44" spans="1:3">
      <c r="A44" t="s">
        <v>1359</v>
      </c>
      <c r="B44" t="str">
        <f>COUNTIF(Szamlaszamok!F:F,A44)</f>
      </c>
      <c r="C44" t="str">
        <f>INDEX(Szamlaszamok!E:E,MATCH(A44,Szamlaszamok!F:F,0))</f>
      </c>
    </row>
    <row r="45" spans="1:3">
      <c r="A45" t="s">
        <v>1360</v>
      </c>
      <c r="B45" t="str">
        <f>COUNTIF(Szamlaszamok!F:F,A45)</f>
      </c>
      <c r="C45" t="str">
        <f>INDEX(Szamlaszamok!E:E,MATCH(A45,Szamlaszamok!F:F,0))</f>
      </c>
    </row>
    <row r="46" spans="1:3">
      <c r="A46" t="s">
        <v>1361</v>
      </c>
      <c r="B46" t="str">
        <f>COUNTIF(Szamlaszamok!F:F,A46)</f>
      </c>
      <c r="C46" t="str">
        <f>INDEX(Szamlaszamok!E:E,MATCH(A46,Szamlaszamok!F:F,0))</f>
      </c>
    </row>
    <row r="47" spans="1:3">
      <c r="A47" t="s">
        <v>1370</v>
      </c>
      <c r="B47" t="str">
        <f>COUNTIF(Szamlaszamok!F:F,A47)</f>
      </c>
      <c r="C47" t="str">
        <f>INDEX(Szamlaszamok!E:E,MATCH(A47,Szamlaszamok!F:F,0))</f>
      </c>
    </row>
    <row r="48" spans="1:3">
      <c r="A48" t="s">
        <v>1371</v>
      </c>
      <c r="B48" t="str">
        <f>COUNTIF(Szamlaszamok!F:F,A48)</f>
      </c>
      <c r="C48" t="str">
        <f>INDEX(Szamlaszamok!E:E,MATCH(A48,Szamlaszamok!F:F,0))</f>
      </c>
    </row>
    <row r="49" spans="1:3">
      <c r="A49" t="s">
        <v>1372</v>
      </c>
      <c r="B49" t="str">
        <f>COUNTIF(Szamlaszamok!F:F,A49)</f>
      </c>
      <c r="C49" t="str">
        <f>INDEX(Szamlaszamok!E:E,MATCH(A49,Szamlaszamok!F:F,0))</f>
      </c>
    </row>
    <row r="50" spans="1:3">
      <c r="A50" t="s">
        <v>1373</v>
      </c>
      <c r="B50" t="str">
        <f>COUNTIF(Szamlaszamok!F:F,A50)</f>
      </c>
      <c r="C50" t="str">
        <f>INDEX(Szamlaszamok!E:E,MATCH(A50,Szamlaszamok!F:F,0))</f>
      </c>
    </row>
    <row r="51" spans="1:3">
      <c r="A51" t="s">
        <v>1418</v>
      </c>
      <c r="B51" t="str">
        <f>COUNTIF(Szamlaszamok!F:F,A51)</f>
      </c>
      <c r="C51" t="str">
        <f>INDEX(Szamlaszamok!E:E,MATCH(A51,Szamlaszamok!F:F,0))</f>
      </c>
    </row>
    <row r="52" spans="1:3">
      <c r="A52" t="s">
        <v>1419</v>
      </c>
      <c r="B52" t="str">
        <f>COUNTIF(Szamlaszamok!F:F,A52)</f>
      </c>
      <c r="C52" t="str">
        <f>INDEX(Szamlaszamok!E:E,MATCH(A52,Szamlaszamok!F:F,0))</f>
      </c>
    </row>
    <row r="53" spans="1:3">
      <c r="A53" t="s">
        <v>1423</v>
      </c>
      <c r="B53" t="str">
        <f>COUNTIF(Szamlaszamok!F:F,A53)</f>
      </c>
      <c r="C53" t="str">
        <f>INDEX(Szamlaszamok!E:E,MATCH(A53,Szamlaszamok!F:F,0))</f>
      </c>
    </row>
    <row r="54" spans="1:3">
      <c r="A54" t="s">
        <v>1428</v>
      </c>
      <c r="B54" t="str">
        <f>COUNTIF(Szamlaszamok!F:F,A54)</f>
      </c>
      <c r="C54" t="str">
        <f>INDEX(Szamlaszamok!E:E,MATCH(A54,Szamlaszamok!F:F,0))</f>
      </c>
    </row>
    <row r="55" spans="1:3">
      <c r="A55" t="s">
        <v>1432</v>
      </c>
      <c r="B55" t="str">
        <f>COUNTIF(Szamlaszamok!F:F,A55)</f>
      </c>
      <c r="C55" t="str">
        <f>INDEX(Szamlaszamok!E:E,MATCH(A55,Szamlaszamok!F:F,0))</f>
      </c>
    </row>
    <row r="56" spans="1:3">
      <c r="A56" t="s">
        <v>1437</v>
      </c>
      <c r="B56" t="str">
        <f>COUNTIF(Szamlaszamok!F:F,A56)</f>
      </c>
      <c r="C56" t="str">
        <f>INDEX(Szamlaszamok!E:E,MATCH(A56,Szamlaszamok!F:F,0))</f>
      </c>
    </row>
    <row r="57" spans="1:3">
      <c r="A57" t="s">
        <v>1438</v>
      </c>
      <c r="B57" t="str">
        <f>COUNTIF(Szamlaszamok!F:F,A57)</f>
      </c>
      <c r="C57" t="str">
        <f>INDEX(Szamlaszamok!E:E,MATCH(A57,Szamlaszamok!F:F,0))</f>
      </c>
    </row>
    <row r="58" spans="1:3">
      <c r="A58" t="s">
        <v>1439</v>
      </c>
      <c r="B58" t="str">
        <f>COUNTIF(Szamlaszamok!F:F,A58)</f>
      </c>
      <c r="C58" t="str">
        <f>INDEX(Szamlaszamok!E:E,MATCH(A58,Szamlaszamok!F:F,0))</f>
      </c>
    </row>
    <row r="59" spans="1:3">
      <c r="A59" t="s">
        <v>1444</v>
      </c>
      <c r="B59" t="str">
        <f>COUNTIF(Szamlaszamok!F:F,A59)</f>
      </c>
      <c r="C59" t="str">
        <f>INDEX(Szamlaszamok!E:E,MATCH(A59,Szamlaszamok!F:F,0))</f>
      </c>
    </row>
    <row r="60" spans="1:3">
      <c r="A60" t="s">
        <v>1452</v>
      </c>
      <c r="B60" t="str">
        <f>COUNTIF(Szamlaszamok!F:F,A60)</f>
      </c>
      <c r="C60" t="str">
        <f>INDEX(Szamlaszamok!E:E,MATCH(A60,Szamlaszamok!F:F,0))</f>
      </c>
    </row>
    <row r="61" spans="1:3">
      <c r="A61" t="s">
        <v>1456</v>
      </c>
      <c r="B61" t="str">
        <f>COUNTIF(Szamlaszamok!F:F,A61)</f>
      </c>
      <c r="C61" t="str">
        <f>INDEX(Szamlaszamok!E:E,MATCH(A61,Szamlaszamok!F:F,0))</f>
      </c>
    </row>
    <row r="62" spans="1:3">
      <c r="A62" t="s">
        <v>1463</v>
      </c>
      <c r="B62" t="str">
        <f>COUNTIF(Szamlaszamok!F:F,A62)</f>
      </c>
      <c r="C62" t="str">
        <f>INDEX(Szamlaszamok!E:E,MATCH(A62,Szamlaszamok!F:F,0))</f>
      </c>
    </row>
    <row r="63" spans="1:3">
      <c r="A63" t="s">
        <v>1468</v>
      </c>
      <c r="B63" t="str">
        <f>COUNTIF(Szamlaszamok!F:F,A63)</f>
      </c>
      <c r="C63" t="str">
        <f>INDEX(Szamlaszamok!E:E,MATCH(A63,Szamlaszamok!F:F,0))</f>
      </c>
    </row>
    <row r="64" spans="1:3">
      <c r="A64" t="s">
        <v>1473</v>
      </c>
      <c r="B64" t="str">
        <f>COUNTIF(Szamlaszamok!F:F,A64)</f>
      </c>
      <c r="C64" t="str">
        <f>INDEX(Szamlaszamok!E:E,MATCH(A64,Szamlaszamok!F:F,0))</f>
      </c>
    </row>
    <row r="65" spans="1:3">
      <c r="A65" t="s">
        <v>1478</v>
      </c>
      <c r="B65" t="str">
        <f>COUNTIF(Szamlaszamok!F:F,A65)</f>
      </c>
      <c r="C65" t="str">
        <f>INDEX(Szamlaszamok!E:E,MATCH(A65,Szamlaszamok!F:F,0))</f>
      </c>
    </row>
    <row r="66" spans="1:3">
      <c r="A66" t="s">
        <v>1516</v>
      </c>
      <c r="B66" t="str">
        <f>COUNTIF(Szamlaszamok!F:F,A66)</f>
      </c>
      <c r="C66" t="str">
        <f>INDEX(Szamlaszamok!E:E,MATCH(A66,Szamlaszamok!F:F,0))</f>
      </c>
    </row>
    <row r="67" spans="1:3">
      <c r="A67" t="s">
        <v>1541</v>
      </c>
      <c r="B67" t="str">
        <f>COUNTIF(Szamlaszamok!F:F,A67)</f>
      </c>
      <c r="C67" t="str">
        <f>INDEX(Szamlaszamok!E:E,MATCH(A67,Szamlaszamok!F:F,0))</f>
      </c>
    </row>
    <row r="68" spans="1:3">
      <c r="A68" t="s">
        <v>1553</v>
      </c>
      <c r="B68" t="str">
        <f>COUNTIF(Szamlaszamok!F:F,A68)</f>
      </c>
      <c r="C68" t="str">
        <f>INDEX(Szamlaszamok!E:E,MATCH(A68,Szamlaszamok!F:F,0))</f>
      </c>
    </row>
    <row r="69" spans="1:3">
      <c r="A69" t="s">
        <v>1572</v>
      </c>
      <c r="B69" t="str">
        <f>COUNTIF(Szamlaszamok!F:F,A69)</f>
      </c>
      <c r="C69" t="str">
        <f>INDEX(Szamlaszamok!E:E,MATCH(A69,Szamlaszamok!F:F,0))</f>
      </c>
    </row>
    <row r="70" spans="1:3">
      <c r="A70" t="s">
        <v>1587</v>
      </c>
      <c r="B70" t="str">
        <f>COUNTIF(Szamlaszamok!F:F,A70)</f>
      </c>
      <c r="C70" t="str">
        <f>INDEX(Szamlaszamok!E:E,MATCH(A70,Szamlaszamok!F:F,0))</f>
      </c>
    </row>
    <row r="71" spans="1:3">
      <c r="A71" t="s">
        <v>1595</v>
      </c>
      <c r="B71" t="str">
        <f>COUNTIF(Szamlaszamok!F:F,A71)</f>
      </c>
      <c r="C71" t="str">
        <f>INDEX(Szamlaszamok!E:E,MATCH(A71,Szamlaszamok!F:F,0))</f>
      </c>
    </row>
    <row r="72" spans="1:3">
      <c r="A72" t="s">
        <v>1603</v>
      </c>
      <c r="B72" t="str">
        <f>COUNTIF(Szamlaszamok!F:F,A72)</f>
      </c>
      <c r="C72" t="str">
        <f>INDEX(Szamlaszamok!E:E,MATCH(A72,Szamlaszamok!F:F,0))</f>
      </c>
    </row>
    <row r="73" spans="1:3">
      <c r="A73" t="s">
        <v>1618</v>
      </c>
      <c r="B73" t="str">
        <f>COUNTIF(Szamlaszamok!F:F,A73)</f>
      </c>
      <c r="C73" t="str">
        <f>INDEX(Szamlaszamok!E:E,MATCH(A73,Szamlaszamok!F:F,0))</f>
      </c>
    </row>
    <row r="74" spans="1:3">
      <c r="A74" t="s">
        <v>1619</v>
      </c>
      <c r="B74" t="str">
        <f>COUNTIF(Szamlaszamok!F:F,A74)</f>
      </c>
      <c r="C74" t="str">
        <f>INDEX(Szamlaszamok!E:E,MATCH(A74,Szamlaszamok!F:F,0))</f>
      </c>
    </row>
    <row r="75" spans="1:3">
      <c r="A75" t="s">
        <v>1620</v>
      </c>
      <c r="B75" t="str">
        <f>COUNTIF(Szamlaszamok!F:F,A75)</f>
      </c>
      <c r="C75" t="str">
        <f>INDEX(Szamlaszamok!E:E,MATCH(A75,Szamlaszamok!F:F,0))</f>
      </c>
    </row>
    <row r="76" spans="1:3">
      <c r="A76" t="s">
        <v>1621</v>
      </c>
      <c r="B76" t="str">
        <f>COUNTIF(Szamlaszamok!F:F,A76)</f>
      </c>
      <c r="C76" t="str">
        <f>INDEX(Szamlaszamok!E:E,MATCH(A76,Szamlaszamok!F:F,0))</f>
      </c>
    </row>
    <row r="77" spans="1:3">
      <c r="A77" t="s">
        <v>1622</v>
      </c>
      <c r="B77" t="str">
        <f>COUNTIF(Szamlaszamok!F:F,A77)</f>
      </c>
      <c r="C77" t="str">
        <f>INDEX(Szamlaszamok!E:E,MATCH(A77,Szamlaszamok!F:F,0))</f>
      </c>
    </row>
    <row r="78" spans="1:3">
      <c r="A78" t="s">
        <v>1623</v>
      </c>
      <c r="B78" t="str">
        <f>COUNTIF(Szamlaszamok!F:F,A78)</f>
      </c>
      <c r="C78" t="str">
        <f>INDEX(Szamlaszamok!E:E,MATCH(A78,Szamlaszamok!F:F,0))</f>
      </c>
    </row>
    <row r="79" spans="1:3">
      <c r="A79" t="s">
        <v>1624</v>
      </c>
      <c r="B79" t="str">
        <f>COUNTIF(Szamlaszamok!F:F,A79)</f>
      </c>
      <c r="C79" t="str">
        <f>INDEX(Szamlaszamok!E:E,MATCH(A79,Szamlaszamok!F:F,0))</f>
      </c>
    </row>
    <row r="80" spans="1:3">
      <c r="A80" t="s">
        <v>1628</v>
      </c>
      <c r="B80" t="str">
        <f>COUNTIF(Szamlaszamok!F:F,A80)</f>
      </c>
      <c r="C80" t="str">
        <f>INDEX(Szamlaszamok!E:E,MATCH(A80,Szamlaszamok!F:F,0))</f>
      </c>
    </row>
    <row r="81" spans="1:3">
      <c r="A81" t="s">
        <v>1629</v>
      </c>
      <c r="B81" t="str">
        <f>COUNTIF(Szamlaszamok!F:F,A81)</f>
      </c>
      <c r="C81" t="str">
        <f>INDEX(Szamlaszamok!E:E,MATCH(A81,Szamlaszamok!F:F,0))</f>
      </c>
    </row>
    <row r="82" spans="1:3">
      <c r="A82" t="s">
        <v>1630</v>
      </c>
      <c r="B82" t="str">
        <f>COUNTIF(Szamlaszamok!F:F,A82)</f>
      </c>
      <c r="C82" t="str">
        <f>INDEX(Szamlaszamok!E:E,MATCH(A82,Szamlaszamok!F:F,0))</f>
      </c>
    </row>
    <row r="83" spans="1:3">
      <c r="A83" t="s">
        <v>1631</v>
      </c>
      <c r="B83" t="str">
        <f>COUNTIF(Szamlaszamok!F:F,A83)</f>
      </c>
      <c r="C83" t="str">
        <f>INDEX(Szamlaszamok!E:E,MATCH(A83,Szamlaszamok!F:F,0))</f>
      </c>
    </row>
    <row r="84" spans="1:3">
      <c r="A84" t="s">
        <v>1635</v>
      </c>
      <c r="B84" t="str">
        <f>COUNTIF(Szamlaszamok!F:F,A84)</f>
      </c>
      <c r="C84" t="str">
        <f>INDEX(Szamlaszamok!E:E,MATCH(A84,Szamlaszamok!F:F,0))</f>
      </c>
    </row>
    <row r="85" spans="1:3">
      <c r="A85" t="s">
        <v>1640</v>
      </c>
      <c r="B85" t="str">
        <f>COUNTIF(Szamlaszamok!F:F,A85)</f>
      </c>
      <c r="C85" t="str">
        <f>INDEX(Szamlaszamok!E:E,MATCH(A85,Szamlaszamok!F:F,0))</f>
      </c>
    </row>
    <row r="86" spans="1:3">
      <c r="A86" t="s">
        <v>1654</v>
      </c>
      <c r="B86" t="str">
        <f>COUNTIF(Szamlaszamok!F:F,A86)</f>
      </c>
      <c r="C86" t="str">
        <f>INDEX(Szamlaszamok!E:E,MATCH(A86,Szamlaszamok!F:F,0))</f>
      </c>
    </row>
    <row r="87" spans="1:3">
      <c r="A87" t="s">
        <v>1655</v>
      </c>
      <c r="B87" t="str">
        <f>COUNTIF(Szamlaszamok!F:F,A87)</f>
      </c>
      <c r="C87" t="str">
        <f>INDEX(Szamlaszamok!E:E,MATCH(A87,Szamlaszamok!F:F,0))</f>
      </c>
    </row>
    <row r="88" spans="1:3">
      <c r="A88" t="s">
        <v>1658</v>
      </c>
      <c r="B88" t="str">
        <f>COUNTIF(Szamlaszamok!F:F,A88)</f>
      </c>
      <c r="C88" t="str">
        <f>INDEX(Szamlaszamok!E:E,MATCH(A88,Szamlaszamok!F:F,0))</f>
      </c>
    </row>
    <row r="89" spans="1:3">
      <c r="A89" t="s">
        <v>1662</v>
      </c>
      <c r="B89" t="str">
        <f>COUNTIF(Szamlaszamok!F:F,A89)</f>
      </c>
      <c r="C89" t="str">
        <f>INDEX(Szamlaszamok!E:E,MATCH(A89,Szamlaszamok!F:F,0))</f>
      </c>
    </row>
    <row r="90" spans="1:3">
      <c r="A90" t="s">
        <v>1667</v>
      </c>
      <c r="B90" t="str">
        <f>COUNTIF(Szamlaszamok!F:F,A90)</f>
      </c>
      <c r="C90" t="str">
        <f>INDEX(Szamlaszamok!E:E,MATCH(A90,Szamlaszamok!F:F,0))</f>
      </c>
    </row>
    <row r="91" spans="1:3">
      <c r="A91" t="s">
        <v>1684</v>
      </c>
      <c r="B91" t="str">
        <f>COUNTIF(Szamlaszamok!F:F,A91)</f>
      </c>
      <c r="C91" t="str">
        <f>INDEX(Szamlaszamok!E:E,MATCH(A91,Szamlaszamok!F:F,0))</f>
      </c>
    </row>
    <row r="92" spans="1:3">
      <c r="A92" t="s">
        <v>1711</v>
      </c>
      <c r="B92" t="str">
        <f>COUNTIF(Szamlaszamok!F:F,A92)</f>
      </c>
      <c r="C92" t="str">
        <f>INDEX(Szamlaszamok!E:E,MATCH(A92,Szamlaszamok!F:F,0))</f>
      </c>
    </row>
    <row r="93" spans="1:3">
      <c r="A93" t="s">
        <v>1716</v>
      </c>
      <c r="B93" t="str">
        <f>COUNTIF(Szamlaszamok!F:F,A93)</f>
      </c>
      <c r="C93" t="str">
        <f>INDEX(Szamlaszamok!E:E,MATCH(A93,Szamlaszamok!F:F,0))</f>
      </c>
    </row>
    <row r="94" spans="1:3">
      <c r="A94" t="s">
        <v>1721</v>
      </c>
      <c r="B94" t="str">
        <f>COUNTIF(Szamlaszamok!F:F,A94)</f>
      </c>
      <c r="C94" t="str">
        <f>INDEX(Szamlaszamok!E:E,MATCH(A94,Szamlaszamok!F:F,0))</f>
      </c>
    </row>
    <row r="95" spans="1:3">
      <c r="A95" t="s">
        <v>1738</v>
      </c>
      <c r="B95" t="str">
        <f>COUNTIF(Szamlaszamok!F:F,A95)</f>
      </c>
      <c r="C95" t="str">
        <f>INDEX(Szamlaszamok!E:E,MATCH(A95,Szamlaszamok!F:F,0))</f>
      </c>
    </row>
    <row r="96" spans="1:3">
      <c r="A96" t="s">
        <v>1739</v>
      </c>
      <c r="B96" t="str">
        <f>COUNTIF(Szamlaszamok!F:F,A96)</f>
      </c>
      <c r="C96" t="str">
        <f>INDEX(Szamlaszamok!E:E,MATCH(A96,Szamlaszamok!F:F,0))</f>
      </c>
    </row>
    <row r="97" spans="1:3">
      <c r="A97" t="s">
        <v>1744</v>
      </c>
      <c r="B97" t="str">
        <f>COUNTIF(Szamlaszamok!F:F,A97)</f>
      </c>
      <c r="C97" t="str">
        <f>INDEX(Szamlaszamok!E:E,MATCH(A97,Szamlaszamok!F:F,0))</f>
      </c>
    </row>
    <row r="98" spans="1:3">
      <c r="A98" t="s">
        <v>1753</v>
      </c>
      <c r="B98" t="str">
        <f>COUNTIF(Szamlaszamok!F:F,A98)</f>
      </c>
      <c r="C98" t="str">
        <f>INDEX(Szamlaszamok!E:E,MATCH(A98,Szamlaszamok!F:F,0))</f>
      </c>
    </row>
    <row r="99" spans="1:3">
      <c r="A99" t="s">
        <v>1881</v>
      </c>
      <c r="B99" t="str">
        <f>COUNTIF(Szamlaszamok!F:F,A99)</f>
      </c>
      <c r="C99" t="str">
        <f>INDEX(Szamlaszamok!E:E,MATCH(A99,Szamlaszamok!F:F,0))</f>
      </c>
    </row>
    <row r="100" spans="1:3">
      <c r="A100" t="s">
        <v>1886</v>
      </c>
      <c r="B100" t="str">
        <f>COUNTIF(Szamlaszamok!F:F,A100)</f>
      </c>
      <c r="C100" t="str">
        <f>INDEX(Szamlaszamok!E:E,MATCH(A100,Szamlaszamok!F:F,0))</f>
      </c>
    </row>
    <row r="101" spans="1:3">
      <c r="A101" t="s">
        <v>1887</v>
      </c>
      <c r="B101" t="str">
        <f>COUNTIF(Szamlaszamok!F:F,A101)</f>
      </c>
      <c r="C101" t="str">
        <f>INDEX(Szamlaszamok!E:E,MATCH(A101,Szamlaszamok!F:F,0))</f>
      </c>
    </row>
    <row r="102" spans="1:3">
      <c r="A102" t="s">
        <v>1888</v>
      </c>
      <c r="B102" t="str">
        <f>COUNTIF(Szamlaszamok!F:F,A102)</f>
      </c>
      <c r="C102" t="str">
        <f>INDEX(Szamlaszamok!E:E,MATCH(A102,Szamlaszamok!F:F,0))</f>
      </c>
    </row>
    <row r="103" spans="1:3">
      <c r="A103" t="s">
        <v>1901</v>
      </c>
      <c r="B103" t="str">
        <f>COUNTIF(Szamlaszamok!F:F,A103)</f>
      </c>
      <c r="C103" t="str">
        <f>INDEX(Szamlaszamok!E:E,MATCH(A103,Szamlaszamok!F:F,0))</f>
      </c>
    </row>
    <row r="104" spans="1:3">
      <c r="A104" t="s">
        <v>1910</v>
      </c>
      <c r="B104" t="str">
        <f>COUNTIF(Szamlaszamok!F:F,A104)</f>
      </c>
      <c r="C104" t="str">
        <f>INDEX(Szamlaszamok!E:E,MATCH(A104,Szamlaszamok!F:F,0))</f>
      </c>
    </row>
    <row r="105" spans="1:3">
      <c r="A105" t="s">
        <v>1938</v>
      </c>
      <c r="B105" t="str">
        <f>COUNTIF(Szamlaszamok!F:F,A105)</f>
      </c>
      <c r="C105" t="str">
        <f>INDEX(Szamlaszamok!E:E,MATCH(A105,Szamlaszamok!F:F,0))</f>
      </c>
    </row>
    <row r="106" spans="1:3">
      <c r="A106" t="s">
        <v>1939</v>
      </c>
      <c r="B106" t="str">
        <f>COUNTIF(Szamlaszamok!F:F,A106)</f>
      </c>
      <c r="C106" t="str">
        <f>INDEX(Szamlaszamok!E:E,MATCH(A106,Szamlaszamok!F:F,0))</f>
      </c>
    </row>
    <row r="107" spans="1:3">
      <c r="A107" t="s">
        <v>1948</v>
      </c>
      <c r="B107" t="str">
        <f>COUNTIF(Szamlaszamok!F:F,A107)</f>
      </c>
      <c r="C107" t="str">
        <f>INDEX(Szamlaszamok!E:E,MATCH(A107,Szamlaszamok!F:F,0))</f>
      </c>
    </row>
    <row r="108" spans="1:3">
      <c r="A108" t="s">
        <v>1952</v>
      </c>
      <c r="B108" t="str">
        <f>COUNTIF(Szamlaszamok!F:F,A108)</f>
      </c>
      <c r="C108" t="str">
        <f>INDEX(Szamlaszamok!E:E,MATCH(A108,Szamlaszamok!F:F,0))</f>
      </c>
    </row>
    <row r="109" spans="1:3">
      <c r="A109" t="s">
        <v>1953</v>
      </c>
      <c r="B109" t="str">
        <f>COUNTIF(Szamlaszamok!F:F,A109)</f>
      </c>
      <c r="C109" t="str">
        <f>INDEX(Szamlaszamok!E:E,MATCH(A109,Szamlaszamok!F:F,0))</f>
      </c>
    </row>
    <row r="110" spans="1:3">
      <c r="A110" t="s">
        <v>1958</v>
      </c>
      <c r="B110" t="str">
        <f>COUNTIF(Szamlaszamok!F:F,A110)</f>
      </c>
      <c r="C110" t="str">
        <f>INDEX(Szamlaszamok!E:E,MATCH(A110,Szamlaszamok!F:F,0))</f>
      </c>
    </row>
    <row r="111" spans="1:3">
      <c r="A111" t="s">
        <v>1961</v>
      </c>
      <c r="B111" t="str">
        <f>COUNTIF(Szamlaszamok!F:F,A111)</f>
      </c>
      <c r="C111" t="str">
        <f>INDEX(Szamlaszamok!E:E,MATCH(A111,Szamlaszamok!F:F,0))</f>
      </c>
    </row>
    <row r="112" spans="1:3">
      <c r="A112" t="s">
        <v>1965</v>
      </c>
      <c r="B112" t="str">
        <f>COUNTIF(Szamlaszamok!F:F,A112)</f>
      </c>
      <c r="C112" t="str">
        <f>INDEX(Szamlaszamok!E:E,MATCH(A112,Szamlaszamok!F:F,0))</f>
      </c>
    </row>
    <row r="113" spans="1:3">
      <c r="A113" t="s">
        <v>1971</v>
      </c>
      <c r="B113" t="str">
        <f>COUNTIF(Szamlaszamok!F:F,A113)</f>
      </c>
      <c r="C113" t="str">
        <f>INDEX(Szamlaszamok!E:E,MATCH(A113,Szamlaszamok!F:F,0))</f>
      </c>
    </row>
    <row r="114" spans="1:3">
      <c r="A114" t="s">
        <v>1972</v>
      </c>
      <c r="B114" t="str">
        <f>COUNTIF(Szamlaszamok!F:F,A114)</f>
      </c>
      <c r="C114" t="str">
        <f>INDEX(Szamlaszamok!E:E,MATCH(A114,Szamlaszamok!F:F,0))</f>
      </c>
    </row>
    <row r="115" spans="1:3">
      <c r="A115" t="s">
        <v>1977</v>
      </c>
      <c r="B115" t="str">
        <f>COUNTIF(Szamlaszamok!F:F,A115)</f>
      </c>
      <c r="C115" t="str">
        <f>INDEX(Szamlaszamok!E:E,MATCH(A115,Szamlaszamok!F:F,0))</f>
      </c>
    </row>
    <row r="116" spans="1:3">
      <c r="A116" t="s">
        <v>1982</v>
      </c>
      <c r="B116" t="str">
        <f>COUNTIF(Szamlaszamok!F:F,A116)</f>
      </c>
      <c r="C116" t="str">
        <f>INDEX(Szamlaszamok!E:E,MATCH(A116,Szamlaszamok!F:F,0))</f>
      </c>
    </row>
    <row r="117" spans="1:3">
      <c r="A117" t="s">
        <v>1986</v>
      </c>
      <c r="B117" t="str">
        <f>COUNTIF(Szamlaszamok!F:F,A117)</f>
      </c>
      <c r="C117" t="str">
        <f>INDEX(Szamlaszamok!E:E,MATCH(A117,Szamlaszamok!F:F,0))</f>
      </c>
    </row>
    <row r="118" spans="1:3">
      <c r="A118" t="s">
        <v>1990</v>
      </c>
      <c r="B118" t="str">
        <f>COUNTIF(Szamlaszamok!F:F,A118)</f>
      </c>
      <c r="C118" t="str">
        <f>INDEX(Szamlaszamok!E:E,MATCH(A118,Szamlaszamok!F:F,0))</f>
      </c>
    </row>
    <row r="119" spans="1:3">
      <c r="A119" t="s">
        <v>1998</v>
      </c>
      <c r="B119" t="str">
        <f>COUNTIF(Szamlaszamok!F:F,A119)</f>
      </c>
      <c r="C119" t="str">
        <f>INDEX(Szamlaszamok!E:E,MATCH(A119,Szamlaszamok!F:F,0))</f>
      </c>
    </row>
    <row r="120" spans="1:3">
      <c r="A120" t="s">
        <v>2006</v>
      </c>
      <c r="B120" t="str">
        <f>COUNTIF(Szamlaszamok!F:F,A120)</f>
      </c>
      <c r="C120" t="str">
        <f>INDEX(Szamlaszamok!E:E,MATCH(A120,Szamlaszamok!F:F,0))</f>
      </c>
    </row>
    <row r="121" spans="1:3">
      <c r="A121" t="s">
        <v>2007</v>
      </c>
      <c r="B121" t="str">
        <f>COUNTIF(Szamlaszamok!F:F,A121)</f>
      </c>
      <c r="C121" t="str">
        <f>INDEX(Szamlaszamok!E:E,MATCH(A121,Szamlaszamok!F:F,0))</f>
      </c>
    </row>
    <row r="122" spans="1:3">
      <c r="A122" t="s">
        <v>2012</v>
      </c>
      <c r="B122" t="str">
        <f>COUNTIF(Szamlaszamok!F:F,A122)</f>
      </c>
      <c r="C122" t="str">
        <f>INDEX(Szamlaszamok!E:E,MATCH(A122,Szamlaszamok!F:F,0))</f>
      </c>
    </row>
    <row r="123" spans="1:3">
      <c r="A123" t="s">
        <v>2013</v>
      </c>
      <c r="B123" t="str">
        <f>COUNTIF(Szamlaszamok!F:F,A123)</f>
      </c>
      <c r="C123" t="str">
        <f>INDEX(Szamlaszamok!E:E,MATCH(A123,Szamlaszamok!F:F,0))</f>
      </c>
    </row>
    <row r="124" spans="1:3">
      <c r="A124" t="s">
        <v>2018</v>
      </c>
      <c r="B124" t="str">
        <f>COUNTIF(Szamlaszamok!F:F,A124)</f>
      </c>
      <c r="C124" t="str">
        <f>INDEX(Szamlaszamok!E:E,MATCH(A124,Szamlaszamok!F:F,0))</f>
      </c>
    </row>
    <row r="125" spans="1:3">
      <c r="A125" t="s">
        <v>2038</v>
      </c>
      <c r="B125" t="str">
        <f>COUNTIF(Szamlaszamok!F:F,A125)</f>
      </c>
      <c r="C125" t="str">
        <f>INDEX(Szamlaszamok!E:E,MATCH(A125,Szamlaszamok!F:F,0))</f>
      </c>
    </row>
    <row r="126" spans="1:3">
      <c r="A126" t="s">
        <v>2039</v>
      </c>
      <c r="B126" t="str">
        <f>COUNTIF(Szamlaszamok!F:F,A126)</f>
      </c>
      <c r="C126" t="str">
        <f>INDEX(Szamlaszamok!E:E,MATCH(A126,Szamlaszamok!F:F,0))</f>
      </c>
    </row>
    <row r="127" spans="1:3">
      <c r="A127" t="s">
        <v>2043</v>
      </c>
      <c r="B127" t="str">
        <f>COUNTIF(Szamlaszamok!F:F,A127)</f>
      </c>
      <c r="C127" t="str">
        <f>INDEX(Szamlaszamok!E:E,MATCH(A127,Szamlaszamok!F:F,0))</f>
      </c>
    </row>
    <row r="128" spans="1:3">
      <c r="A128" t="s">
        <v>2047</v>
      </c>
      <c r="B128" t="str">
        <f>COUNTIF(Szamlaszamok!F:F,A128)</f>
      </c>
      <c r="C128" t="str">
        <f>INDEX(Szamlaszamok!E:E,MATCH(A128,Szamlaszamok!F:F,0))</f>
      </c>
    </row>
    <row r="129" spans="1:3">
      <c r="A129" t="s">
        <v>2052</v>
      </c>
      <c r="B129" t="str">
        <f>COUNTIF(Szamlaszamok!F:F,A129)</f>
      </c>
      <c r="C129" t="str">
        <f>INDEX(Szamlaszamok!E:E,MATCH(A129,Szamlaszamok!F:F,0))</f>
      </c>
    </row>
    <row r="130" spans="1:3">
      <c r="A130" t="s">
        <v>2053</v>
      </c>
      <c r="B130" t="str">
        <f>COUNTIF(Szamlaszamok!F:F,A130)</f>
      </c>
      <c r="C130" t="str">
        <f>INDEX(Szamlaszamok!E:E,MATCH(A130,Szamlaszamok!F:F,0))</f>
      </c>
    </row>
    <row r="131" spans="1:3">
      <c r="A131" t="s">
        <v>2054</v>
      </c>
      <c r="B131" t="str">
        <f>COUNTIF(Szamlaszamok!F:F,A131)</f>
      </c>
      <c r="C131" t="str">
        <f>INDEX(Szamlaszamok!E:E,MATCH(A131,Szamlaszamok!F:F,0))</f>
      </c>
    </row>
    <row r="132" spans="1:3">
      <c r="A132" t="s">
        <v>2055</v>
      </c>
      <c r="B132" t="str">
        <f>COUNTIF(Szamlaszamok!F:F,A132)</f>
      </c>
      <c r="C132" t="str">
        <f>INDEX(Szamlaszamok!E:E,MATCH(A132,Szamlaszamok!F:F,0))</f>
      </c>
    </row>
    <row r="133" spans="1:3">
      <c r="A133" t="s">
        <v>2067</v>
      </c>
      <c r="B133" t="str">
        <f>COUNTIF(Szamlaszamok!F:F,A133)</f>
      </c>
      <c r="C133" t="str">
        <f>INDEX(Szamlaszamok!E:E,MATCH(A133,Szamlaszamok!F:F,0))</f>
      </c>
    </row>
    <row r="134" spans="1:3">
      <c r="A134" t="s">
        <v>2075</v>
      </c>
      <c r="B134" t="str">
        <f>COUNTIF(Szamlaszamok!F:F,A134)</f>
      </c>
      <c r="C134" t="str">
        <f>INDEX(Szamlaszamok!E:E,MATCH(A134,Szamlaszamok!F:F,0))</f>
      </c>
    </row>
    <row r="135" spans="1:3">
      <c r="A135" t="s">
        <v>2076</v>
      </c>
      <c r="B135" t="str">
        <f>COUNTIF(Szamlaszamok!F:F,A135)</f>
      </c>
      <c r="C135" t="str">
        <f>INDEX(Szamlaszamok!E:E,MATCH(A135,Szamlaszamok!F:F,0))</f>
      </c>
    </row>
    <row r="136" spans="1:3">
      <c r="A136" t="s">
        <v>2089</v>
      </c>
      <c r="B136" t="str">
        <f>COUNTIF(Szamlaszamok!F:F,A136)</f>
      </c>
      <c r="C136" t="str">
        <f>INDEX(Szamlaszamok!E:E,MATCH(A136,Szamlaszamok!F:F,0))</f>
      </c>
    </row>
    <row r="137" spans="1:3">
      <c r="A137" t="s">
        <v>2097</v>
      </c>
      <c r="B137" t="str">
        <f>COUNTIF(Szamlaszamok!F:F,A137)</f>
      </c>
      <c r="C137" t="str">
        <f>INDEX(Szamlaszamok!E:E,MATCH(A137,Szamlaszamok!F:F,0))</f>
      </c>
    </row>
    <row r="138" spans="1:3">
      <c r="A138" t="s">
        <v>2105</v>
      </c>
      <c r="B138" t="str">
        <f>COUNTIF(Szamlaszamok!F:F,A138)</f>
      </c>
      <c r="C138" t="str">
        <f>INDEX(Szamlaszamok!E:E,MATCH(A138,Szamlaszamok!F:F,0))</f>
      </c>
    </row>
    <row r="139" spans="1:3">
      <c r="A139" t="s">
        <v>2158</v>
      </c>
      <c r="B139" t="str">
        <f>COUNTIF(Szamlaszamok!F:F,A139)</f>
      </c>
      <c r="C139" t="str">
        <f>INDEX(Szamlaszamok!E:E,MATCH(A139,Szamlaszamok!F:F,0))</f>
      </c>
    </row>
    <row r="140" spans="1:3">
      <c r="A140" t="s">
        <v>2167</v>
      </c>
      <c r="B140" t="str">
        <f>COUNTIF(Szamlaszamok!F:F,A140)</f>
      </c>
      <c r="C140" t="str">
        <f>INDEX(Szamlaszamok!E:E,MATCH(A140,Szamlaszamok!F:F,0))</f>
      </c>
    </row>
    <row r="141" spans="1:3">
      <c r="A141" t="s">
        <v>2174</v>
      </c>
      <c r="B141" t="str">
        <f>COUNTIF(Szamlaszamok!F:F,A141)</f>
      </c>
      <c r="C141" t="str">
        <f>INDEX(Szamlaszamok!E:E,MATCH(A141,Szamlaszamok!F:F,0))</f>
      </c>
    </row>
    <row r="142" spans="1:3">
      <c r="A142" t="s">
        <v>2175</v>
      </c>
      <c r="B142" t="str">
        <f>COUNTIF(Szamlaszamok!F:F,A142)</f>
      </c>
      <c r="C142" t="str">
        <f>INDEX(Szamlaszamok!E:E,MATCH(A142,Szamlaszamok!F:F,0))</f>
      </c>
    </row>
    <row r="143" spans="1:3">
      <c r="A143" t="s">
        <v>2176</v>
      </c>
      <c r="B143" t="str">
        <f>COUNTIF(Szamlaszamok!F:F,A143)</f>
      </c>
      <c r="C143" t="str">
        <f>INDEX(Szamlaszamok!E:E,MATCH(A143,Szamlaszamok!F:F,0))</f>
      </c>
    </row>
    <row r="144" spans="1:3">
      <c r="A144" t="s">
        <v>2181</v>
      </c>
      <c r="B144" t="str">
        <f>COUNTIF(Szamlaszamok!F:F,A144)</f>
      </c>
      <c r="C144" t="str">
        <f>INDEX(Szamlaszamok!E:E,MATCH(A144,Szamlaszamok!F:F,0))</f>
      </c>
    </row>
    <row r="145" spans="1:3">
      <c r="A145" t="s">
        <v>2189</v>
      </c>
      <c r="B145" t="str">
        <f>COUNTIF(Szamlaszamok!F:F,A145)</f>
      </c>
      <c r="C145" t="str">
        <f>INDEX(Szamlaszamok!E:E,MATCH(A145,Szamlaszamok!F:F,0))</f>
      </c>
    </row>
    <row r="146" spans="1:3">
      <c r="A146" t="s">
        <v>2205</v>
      </c>
      <c r="B146" t="str">
        <f>COUNTIF(Szamlaszamok!F:F,A146)</f>
      </c>
      <c r="C146" t="str">
        <f>INDEX(Szamlaszamok!E:E,MATCH(A146,Szamlaszamok!F:F,0))</f>
      </c>
    </row>
    <row r="147" spans="1:3">
      <c r="A147" t="s">
        <v>2210</v>
      </c>
      <c r="B147" t="str">
        <f>COUNTIF(Szamlaszamok!F:F,A147)</f>
      </c>
      <c r="C147" t="str">
        <f>INDEX(Szamlaszamok!E:E,MATCH(A147,Szamlaszamok!F:F,0))</f>
      </c>
    </row>
    <row r="148" spans="1:3">
      <c r="A148" t="s">
        <v>2213</v>
      </c>
      <c r="B148" t="str">
        <f>COUNTIF(Szamlaszamok!F:F,A148)</f>
      </c>
      <c r="C148" t="str">
        <f>INDEX(Szamlaszamok!E:E,MATCH(A148,Szamlaszamok!F:F,0))</f>
      </c>
    </row>
    <row r="149" spans="1:3">
      <c r="A149" t="s">
        <v>2234</v>
      </c>
      <c r="B149" t="str">
        <f>COUNTIF(Szamlaszamok!F:F,A149)</f>
      </c>
      <c r="C149" t="str">
        <f>INDEX(Szamlaszamok!E:E,MATCH(A149,Szamlaszamok!F:F,0))</f>
      </c>
    </row>
    <row r="150" spans="1:3">
      <c r="A150" t="s">
        <v>2242</v>
      </c>
      <c r="B150" t="str">
        <f>COUNTIF(Szamlaszamok!F:F,A150)</f>
      </c>
      <c r="C150" t="str">
        <f>INDEX(Szamlaszamok!E:E,MATCH(A150,Szamlaszamok!F:F,0))</f>
      </c>
    </row>
    <row r="151" spans="1:3">
      <c r="A151" t="s">
        <v>2255</v>
      </c>
      <c r="B151" t="str">
        <f>COUNTIF(Szamlaszamok!F:F,A151)</f>
      </c>
      <c r="C151" t="str">
        <f>INDEX(Szamlaszamok!E:E,MATCH(A151,Szamlaszamok!F:F,0))</f>
      </c>
    </row>
    <row r="152" spans="1:3">
      <c r="A152" t="s">
        <v>2282</v>
      </c>
      <c r="B152" t="str">
        <f>COUNTIF(Szamlaszamok!F:F,A152)</f>
      </c>
      <c r="C152" t="str">
        <f>INDEX(Szamlaszamok!E:E,MATCH(A152,Szamlaszamok!F:F,0))</f>
      </c>
    </row>
    <row r="153" spans="1:3">
      <c r="A153" t="s">
        <v>2287</v>
      </c>
      <c r="B153" t="str">
        <f>COUNTIF(Szamlaszamok!F:F,A153)</f>
      </c>
      <c r="C153" t="str">
        <f>INDEX(Szamlaszamok!E:E,MATCH(A153,Szamlaszamok!F:F,0))</f>
      </c>
    </row>
    <row r="154" spans="1:3">
      <c r="A154" t="s">
        <v>2288</v>
      </c>
      <c r="B154" t="str">
        <f>COUNTIF(Szamlaszamok!F:F,A154)</f>
      </c>
      <c r="C154" t="str">
        <f>INDEX(Szamlaszamok!E:E,MATCH(A154,Szamlaszamok!F:F,0))</f>
      </c>
    </row>
    <row r="155" spans="1:3">
      <c r="A155" t="s">
        <v>2292</v>
      </c>
      <c r="B155" t="str">
        <f>COUNTIF(Szamlaszamok!F:F,A155)</f>
      </c>
      <c r="C155" t="str">
        <f>INDEX(Szamlaszamok!E:E,MATCH(A155,Szamlaszamok!F:F,0))</f>
      </c>
    </row>
    <row r="156" spans="1:3">
      <c r="A156" t="s">
        <v>2296</v>
      </c>
      <c r="B156" t="str">
        <f>COUNTIF(Szamlaszamok!F:F,A156)</f>
      </c>
      <c r="C156" t="str">
        <f>INDEX(Szamlaszamok!E:E,MATCH(A156,Szamlaszamok!F:F,0))</f>
      </c>
    </row>
    <row r="157" spans="1:3">
      <c r="A157" t="s">
        <v>2305</v>
      </c>
      <c r="B157" t="str">
        <f>COUNTIF(Szamlaszamok!F:F,A157)</f>
      </c>
      <c r="C157" t="str">
        <f>INDEX(Szamlaszamok!E:E,MATCH(A157,Szamlaszamok!F:F,0))</f>
      </c>
    </row>
    <row r="158" spans="1:3">
      <c r="A158" t="s">
        <v>2309</v>
      </c>
      <c r="B158" t="str">
        <f>COUNTIF(Szamlaszamok!F:F,A158)</f>
      </c>
      <c r="C158" t="str">
        <f>INDEX(Szamlaszamok!E:E,MATCH(A158,Szamlaszamok!F:F,0))</f>
      </c>
    </row>
    <row r="159" spans="1:3">
      <c r="A159" t="s">
        <v>2317</v>
      </c>
      <c r="B159" t="str">
        <f>COUNTIF(Szamlaszamok!F:F,A159)</f>
      </c>
      <c r="C159" t="str">
        <f>INDEX(Szamlaszamok!E:E,MATCH(A159,Szamlaszamok!F:F,0))</f>
      </c>
    </row>
    <row r="160" spans="1:3">
      <c r="A160" t="s">
        <v>2332</v>
      </c>
      <c r="B160" t="str">
        <f>COUNTIF(Szamlaszamok!F:F,A160)</f>
      </c>
      <c r="C160" t="str">
        <f>INDEX(Szamlaszamok!E:E,MATCH(A160,Szamlaszamok!F:F,0))</f>
      </c>
    </row>
    <row r="161" spans="1:3">
      <c r="A161" t="s">
        <v>2333</v>
      </c>
      <c r="B161" t="str">
        <f>COUNTIF(Szamlaszamok!F:F,A161)</f>
      </c>
      <c r="C161" t="str">
        <f>INDEX(Szamlaszamok!E:E,MATCH(A161,Szamlaszamok!F:F,0))</f>
      </c>
    </row>
    <row r="162" spans="1:3">
      <c r="A162" t="s">
        <v>2337</v>
      </c>
      <c r="B162" t="str">
        <f>COUNTIF(Szamlaszamok!F:F,A162)</f>
      </c>
      <c r="C162" t="str">
        <f>INDEX(Szamlaszamok!E:E,MATCH(A162,Szamlaszamok!F:F,0))</f>
      </c>
    </row>
    <row r="163" spans="1:3">
      <c r="A163" t="s">
        <v>2338</v>
      </c>
      <c r="B163" t="str">
        <f>COUNTIF(Szamlaszamok!F:F,A163)</f>
      </c>
      <c r="C163" t="str">
        <f>INDEX(Szamlaszamok!E:E,MATCH(A163,Szamlaszamok!F:F,0))</f>
      </c>
    </row>
    <row r="164" spans="1:3">
      <c r="A164" t="s">
        <v>2341</v>
      </c>
      <c r="B164" t="str">
        <f>COUNTIF(Szamlaszamok!F:F,A164)</f>
      </c>
      <c r="C164" t="str">
        <f>INDEX(Szamlaszamok!E:E,MATCH(A164,Szamlaszamok!F:F,0))</f>
      </c>
    </row>
    <row r="165" spans="1:3">
      <c r="A165" t="s">
        <v>2345</v>
      </c>
      <c r="B165" t="str">
        <f>COUNTIF(Szamlaszamok!F:F,A165)</f>
      </c>
      <c r="C165" t="str">
        <f>INDEX(Szamlaszamok!E:E,MATCH(A165,Szamlaszamok!F:F,0))</f>
      </c>
    </row>
    <row r="166" spans="1:3">
      <c r="A166" t="s">
        <v>2387</v>
      </c>
      <c r="B166" t="str">
        <f>COUNTIF(Szamlaszamok!F:F,A166)</f>
      </c>
      <c r="C166" t="str">
        <f>INDEX(Szamlaszamok!E:E,MATCH(A166,Szamlaszamok!F:F,0))</f>
      </c>
    </row>
    <row r="167" spans="1:3">
      <c r="A167" t="s">
        <v>2391</v>
      </c>
      <c r="B167" t="str">
        <f>COUNTIF(Szamlaszamok!F:F,A167)</f>
      </c>
      <c r="C167" t="str">
        <f>INDEX(Szamlaszamok!E:E,MATCH(A167,Szamlaszamok!F:F,0))</f>
      </c>
    </row>
    <row r="168" spans="1:3">
      <c r="A168" t="s">
        <v>2392</v>
      </c>
      <c r="B168" t="str">
        <f>COUNTIF(Szamlaszamok!F:F,A168)</f>
      </c>
      <c r="C168" t="str">
        <f>INDEX(Szamlaszamok!E:E,MATCH(A168,Szamlaszamok!F:F,0))</f>
      </c>
    </row>
    <row r="169" spans="1:3">
      <c r="A169" t="s">
        <v>2397</v>
      </c>
      <c r="B169" t="str">
        <f>COUNTIF(Szamlaszamok!F:F,A169)</f>
      </c>
      <c r="C169" t="str">
        <f>INDEX(Szamlaszamok!E:E,MATCH(A169,Szamlaszamok!F:F,0))</f>
      </c>
    </row>
    <row r="170" spans="1:3">
      <c r="A170" t="s">
        <v>2401</v>
      </c>
      <c r="B170" t="str">
        <f>COUNTIF(Szamlaszamok!F:F,A170)</f>
      </c>
      <c r="C170" t="str">
        <f>INDEX(Szamlaszamok!E:E,MATCH(A170,Szamlaszamok!F:F,0))</f>
      </c>
    </row>
    <row r="171" spans="1:3">
      <c r="A171" t="s">
        <v>2402</v>
      </c>
      <c r="B171" t="str">
        <f>COUNTIF(Szamlaszamok!F:F,A171)</f>
      </c>
      <c r="C171" t="str">
        <f>INDEX(Szamlaszamok!E:E,MATCH(A171,Szamlaszamok!F:F,0))</f>
      </c>
    </row>
    <row r="172" spans="1:3">
      <c r="A172" t="s">
        <v>2403</v>
      </c>
      <c r="B172" t="str">
        <f>COUNTIF(Szamlaszamok!F:F,A172)</f>
      </c>
      <c r="C172" t="str">
        <f>INDEX(Szamlaszamok!E:E,MATCH(A172,Szamlaszamok!F:F,0))</f>
      </c>
    </row>
    <row r="173" spans="1:3">
      <c r="A173" t="s">
        <v>2407</v>
      </c>
      <c r="B173" t="str">
        <f>COUNTIF(Szamlaszamok!F:F,A173)</f>
      </c>
      <c r="C173" t="str">
        <f>INDEX(Szamlaszamok!E:E,MATCH(A173,Szamlaszamok!F:F,0))</f>
      </c>
    </row>
    <row r="174" spans="1:3">
      <c r="A174" t="s">
        <v>2435</v>
      </c>
      <c r="B174" t="str">
        <f>COUNTIF(Szamlaszamok!F:F,A174)</f>
      </c>
      <c r="C174" t="str">
        <f>INDEX(Szamlaszamok!E:E,MATCH(A174,Szamlaszamok!F:F,0))</f>
      </c>
    </row>
    <row r="175" spans="1:3">
      <c r="A175" t="s">
        <v>2440</v>
      </c>
      <c r="B175" t="str">
        <f>COUNTIF(Szamlaszamok!F:F,A175)</f>
      </c>
      <c r="C175" t="str">
        <f>INDEX(Szamlaszamok!E:E,MATCH(A175,Szamlaszamok!F:F,0))</f>
      </c>
    </row>
    <row r="176" spans="1:3">
      <c r="A176" t="s">
        <v>2441</v>
      </c>
      <c r="B176" t="str">
        <f>COUNTIF(Szamlaszamok!F:F,A176)</f>
      </c>
      <c r="C176" t="str">
        <f>INDEX(Szamlaszamok!E:E,MATCH(A176,Szamlaszamok!F:F,0))</f>
      </c>
    </row>
    <row r="177" spans="1:3">
      <c r="A177" t="s">
        <v>2446</v>
      </c>
      <c r="B177" t="str">
        <f>COUNTIF(Szamlaszamok!F:F,A177)</f>
      </c>
      <c r="C177" t="str">
        <f>INDEX(Szamlaszamok!E:E,MATCH(A177,Szamlaszamok!F:F,0))</f>
      </c>
    </row>
    <row r="178" spans="1:3">
      <c r="A178" t="s">
        <v>2493</v>
      </c>
      <c r="B178" t="str">
        <f>COUNTIF(Szamlaszamok!F:F,A178)</f>
      </c>
      <c r="C178" t="str">
        <f>INDEX(Szamlaszamok!E:E,MATCH(A178,Szamlaszamok!F:F,0))</f>
      </c>
    </row>
    <row r="179" spans="1:3">
      <c r="A179" t="s">
        <v>2551</v>
      </c>
      <c r="B179" t="str">
        <f>COUNTIF(Szamlaszamok!F:F,A179)</f>
      </c>
      <c r="C179" t="str">
        <f>INDEX(Szamlaszamok!E:E,MATCH(A179,Szamlaszamok!F:F,0))</f>
      </c>
    </row>
    <row r="180" spans="1:3">
      <c r="A180" t="s">
        <v>2660</v>
      </c>
      <c r="B180" t="str">
        <f>COUNTIF(Szamlaszamok!F:F,A180)</f>
      </c>
      <c r="C180" t="str">
        <f>INDEX(Szamlaszamok!E:E,MATCH(A180,Szamlaszamok!F:F,0))</f>
      </c>
    </row>
    <row r="181" spans="1:3">
      <c r="A181" t="s">
        <v>2763</v>
      </c>
      <c r="B181" t="str">
        <f>COUNTIF(Szamlaszamok!F:F,A181)</f>
      </c>
      <c r="C181" t="str">
        <f>INDEX(Szamlaszamok!E:E,MATCH(A181,Szamlaszamok!F:F,0))</f>
      </c>
    </row>
    <row r="182" spans="1:3">
      <c r="A182" t="s">
        <v>2768</v>
      </c>
      <c r="B182" t="str">
        <f>COUNTIF(Szamlaszamok!F:F,A182)</f>
      </c>
      <c r="C182" t="str">
        <f>INDEX(Szamlaszamok!E:E,MATCH(A182,Szamlaszamok!F:F,0))</f>
      </c>
    </row>
    <row r="183" spans="1:3">
      <c r="A183" t="s">
        <v>2773</v>
      </c>
      <c r="B183" t="str">
        <f>COUNTIF(Szamlaszamok!F:F,A183)</f>
      </c>
      <c r="C183" t="str">
        <f>INDEX(Szamlaszamok!E:E,MATCH(A183,Szamlaszamok!F:F,0))</f>
      </c>
    </row>
    <row r="184" spans="1:3">
      <c r="A184" t="s">
        <v>2793</v>
      </c>
      <c r="B184" t="str">
        <f>COUNTIF(Szamlaszamok!F:F,A184)</f>
      </c>
      <c r="C184" t="str">
        <f>INDEX(Szamlaszamok!E:E,MATCH(A184,Szamlaszamok!F:F,0))</f>
      </c>
    </row>
    <row r="185" spans="1:3">
      <c r="A185" t="s">
        <v>2838</v>
      </c>
      <c r="B185" t="str">
        <f>COUNTIF(Szamlaszamok!F:F,A185)</f>
      </c>
      <c r="C185" t="str">
        <f>INDEX(Szamlaszamok!E:E,MATCH(A185,Szamlaszamok!F:F,0))</f>
      </c>
    </row>
    <row r="186" spans="1:3">
      <c r="A186" t="s">
        <v>2909</v>
      </c>
      <c r="B186" t="str">
        <f>COUNTIF(Szamlaszamok!F:F,A186)</f>
      </c>
      <c r="C186" t="str">
        <f>INDEX(Szamlaszamok!E:E,MATCH(A186,Szamlaszamok!F:F,0))</f>
      </c>
    </row>
    <row r="187" spans="1:3">
      <c r="A187" t="s">
        <v>2941</v>
      </c>
      <c r="B187" t="str">
        <f>COUNTIF(Szamlaszamok!F:F,A187)</f>
      </c>
      <c r="C187" t="str">
        <f>INDEX(Szamlaszamok!E:E,MATCH(A187,Szamlaszamok!F:F,0))</f>
      </c>
    </row>
    <row r="188" spans="1:3">
      <c r="A188" t="s">
        <v>2961</v>
      </c>
      <c r="B188" t="str">
        <f>COUNTIF(Szamlaszamok!F:F,A188)</f>
      </c>
      <c r="C188" t="str">
        <f>INDEX(Szamlaszamok!E:E,MATCH(A188,Szamlaszamok!F:F,0))</f>
      </c>
    </row>
    <row r="189" spans="1:3">
      <c r="A189" t="s">
        <v>2996</v>
      </c>
      <c r="B189" t="str">
        <f>COUNTIF(Szamlaszamok!F:F,A189)</f>
      </c>
      <c r="C189" t="str">
        <f>INDEX(Szamlaszamok!E:E,MATCH(A189,Szamlaszamok!F:F,0))</f>
      </c>
    </row>
    <row r="190" spans="1:3">
      <c r="A190" t="s">
        <v>3023</v>
      </c>
      <c r="B190" t="str">
        <f>COUNTIF(Szamlaszamok!F:F,A190)</f>
      </c>
      <c r="C190" t="str">
        <f>INDEX(Szamlaszamok!E:E,MATCH(A190,Szamlaszamok!F:F,0))</f>
      </c>
    </row>
    <row r="191" spans="1:3">
      <c r="A191" t="s">
        <v>3102</v>
      </c>
      <c r="B191" t="str">
        <f>COUNTIF(Szamlaszamok!F:F,A191)</f>
      </c>
      <c r="C191" t="str">
        <f>INDEX(Szamlaszamok!E:E,MATCH(A191,Szamlaszamok!F:F,0))</f>
      </c>
    </row>
    <row r="192" spans="1:3">
      <c r="A192" t="s">
        <v>3204</v>
      </c>
      <c r="B192" t="str">
        <f>COUNTIF(Szamlaszamok!F:F,A192)</f>
      </c>
      <c r="C192" t="str">
        <f>INDEX(Szamlaszamok!E:E,MATCH(A192,Szamlaszamok!F:F,0))</f>
      </c>
    </row>
    <row r="193" spans="1:3">
      <c r="A193" t="s">
        <v>3282</v>
      </c>
      <c r="B193" t="str">
        <f>COUNTIF(Szamlaszamok!F:F,A193)</f>
      </c>
      <c r="C193" t="str">
        <f>INDEX(Szamlaszamok!E:E,MATCH(A193,Szamlaszamok!F:F,0))</f>
      </c>
    </row>
    <row r="194" spans="1:3">
      <c r="A194" t="s">
        <v>3441</v>
      </c>
      <c r="B194" t="str">
        <f>COUNTIF(Szamlaszamok!F:F,A194)</f>
      </c>
      <c r="C194" t="str">
        <f>INDEX(Szamlaszamok!E:E,MATCH(A194,Szamlaszamok!F:F,0))</f>
      </c>
    </row>
    <row r="195" spans="1:3">
      <c r="A195" t="s">
        <v>3690</v>
      </c>
      <c r="B195" t="str">
        <f>COUNTIF(Szamlaszamok!F:F,A195)</f>
      </c>
      <c r="C195" t="str">
        <f>INDEX(Szamlaszamok!E:E,MATCH(A195,Szamlaszamok!F:F,0))</f>
      </c>
    </row>
    <row r="196" spans="1:3">
      <c r="A196" t="s">
        <v>3691</v>
      </c>
      <c r="B196" t="str">
        <f>COUNTIF(Szamlaszamok!F:F,A196)</f>
      </c>
      <c r="C196" t="str">
        <f>INDEX(Szamlaszamok!E:E,MATCH(A196,Szamlaszamok!F:F,0))</f>
      </c>
    </row>
    <row r="197" spans="1:3">
      <c r="A197" t="s">
        <v>3696</v>
      </c>
      <c r="B197" t="str">
        <f>COUNTIF(Szamlaszamok!F:F,A197)</f>
      </c>
      <c r="C197" t="str">
        <f>INDEX(Szamlaszamok!E:E,MATCH(A197,Szamlaszamok!F:F,0))</f>
      </c>
    </row>
    <row r="198" spans="1:3">
      <c r="A198" t="s">
        <v>3700</v>
      </c>
      <c r="B198" t="str">
        <f>COUNTIF(Szamlaszamok!F:F,A198)</f>
      </c>
      <c r="C198" t="str">
        <f>INDEX(Szamlaszamok!E:E,MATCH(A198,Szamlaszamok!F:F,0))</f>
      </c>
    </row>
    <row r="199" spans="1:3">
      <c r="A199" t="s">
        <v>3719</v>
      </c>
      <c r="B199" t="str">
        <f>COUNTIF(Szamlaszamok!F:F,A199)</f>
      </c>
      <c r="C199" t="str">
        <f>INDEX(Szamlaszamok!E:E,MATCH(A199,Szamlaszamok!F:F,0))</f>
      </c>
    </row>
    <row r="200" spans="1:3">
      <c r="A200" t="s">
        <v>3745</v>
      </c>
      <c r="B200" t="str">
        <f>COUNTIF(Szamlaszamok!F:F,A200)</f>
      </c>
      <c r="C200" t="str">
        <f>INDEX(Szamlaszamok!E:E,MATCH(A200,Szamlaszamok!F:F,0))</f>
      </c>
    </row>
    <row r="201" spans="1:3">
      <c r="A201" t="s">
        <v>3751</v>
      </c>
      <c r="B201" t="str">
        <f>COUNTIF(Szamlaszamok!F:F,A201)</f>
      </c>
      <c r="C201" t="str">
        <f>INDEX(Szamlaszamok!E:E,MATCH(A201,Szamlaszamok!F:F,0))</f>
      </c>
    </row>
    <row r="202" spans="1:3">
      <c r="A202" t="s">
        <v>3754</v>
      </c>
      <c r="B202" t="str">
        <f>COUNTIF(Szamlaszamok!F:F,A202)</f>
      </c>
      <c r="C202" t="str">
        <f>INDEX(Szamlaszamok!E:E,MATCH(A202,Szamlaszamok!F:F,0))</f>
      </c>
    </row>
    <row r="203" spans="1:3">
      <c r="A203" t="s">
        <v>3759</v>
      </c>
      <c r="B203" t="str">
        <f>COUNTIF(Szamlaszamok!F:F,A203)</f>
      </c>
      <c r="C203" t="str">
        <f>INDEX(Szamlaszamok!E:E,MATCH(A203,Szamlaszamok!F:F,0))</f>
      </c>
    </row>
    <row r="204" spans="1:3">
      <c r="A204" t="s">
        <v>3767</v>
      </c>
      <c r="B204" t="str">
        <f>COUNTIF(Szamlaszamok!F:F,A204)</f>
      </c>
      <c r="C204" t="str">
        <f>INDEX(Szamlaszamok!E:E,MATCH(A204,Szamlaszamok!F:F,0))</f>
      </c>
    </row>
    <row r="205" spans="1:3">
      <c r="A205" t="s">
        <v>3935</v>
      </c>
      <c r="B205" t="str">
        <f>COUNTIF(Szamlaszamok!F:F,A205)</f>
      </c>
      <c r="C205" t="str">
        <f>INDEX(Szamlaszamok!E:E,MATCH(A205,Szamlaszamok!F:F,0))</f>
      </c>
    </row>
    <row r="206" spans="1:3">
      <c r="A206" t="s">
        <v>3984</v>
      </c>
      <c r="B206" t="str">
        <f>COUNTIF(Szamlaszamok!F:F,A206)</f>
      </c>
      <c r="C206" t="str">
        <f>INDEX(Szamlaszamok!E:E,MATCH(A206,Szamlaszamok!F:F,0))</f>
      </c>
    </row>
    <row r="207" spans="1:3">
      <c r="A207" t="s">
        <v>4021</v>
      </c>
      <c r="B207" t="str">
        <f>COUNTIF(Szamlaszamok!F:F,A207)</f>
      </c>
      <c r="C207" t="str">
        <f>INDEX(Szamlaszamok!E:E,MATCH(A207,Szamlaszamok!F:F,0))</f>
      </c>
    </row>
    <row r="208" spans="1:3">
      <c r="A208" t="s">
        <v>4024</v>
      </c>
      <c r="B208" t="str">
        <f>COUNTIF(Szamlaszamok!F:F,A208)</f>
      </c>
      <c r="C208" t="str">
        <f>INDEX(Szamlaszamok!E:E,MATCH(A208,Szamlaszamok!F:F,0))</f>
      </c>
    </row>
    <row r="209" spans="1:3">
      <c r="A209" t="s">
        <v>4025</v>
      </c>
      <c r="B209" t="str">
        <f>COUNTIF(Szamlaszamok!F:F,A209)</f>
      </c>
      <c r="C209" t="str">
        <f>INDEX(Szamlaszamok!E:E,MATCH(A209,Szamlaszamok!F:F,0))</f>
      </c>
    </row>
    <row r="210" spans="1:3">
      <c r="A210" t="s">
        <v>4029</v>
      </c>
      <c r="B210" t="str">
        <f>COUNTIF(Szamlaszamok!F:F,A210)</f>
      </c>
      <c r="C210" t="str">
        <f>INDEX(Szamlaszamok!E:E,MATCH(A210,Szamlaszamok!F:F,0))</f>
      </c>
    </row>
    <row r="211" spans="1:3">
      <c r="A211" t="s">
        <v>4037</v>
      </c>
      <c r="B211" t="str">
        <f>COUNTIF(Szamlaszamok!F:F,A211)</f>
      </c>
      <c r="C211" t="str">
        <f>INDEX(Szamlaszamok!E:E,MATCH(A211,Szamlaszamok!F:F,0))</f>
      </c>
    </row>
    <row r="212" spans="1:3">
      <c r="A212" t="s">
        <v>4038</v>
      </c>
      <c r="B212" t="str">
        <f>COUNTIF(Szamlaszamok!F:F,A212)</f>
      </c>
      <c r="C212" t="str">
        <f>INDEX(Szamlaszamok!E:E,MATCH(A212,Szamlaszamok!F:F,0))</f>
      </c>
    </row>
    <row r="213" spans="1:3">
      <c r="A213" t="s">
        <v>4043</v>
      </c>
      <c r="B213" t="str">
        <f>COUNTIF(Szamlaszamok!F:F,A213)</f>
      </c>
      <c r="C213" t="str">
        <f>INDEX(Szamlaszamok!E:E,MATCH(A213,Szamlaszamok!F:F,0))</f>
      </c>
    </row>
    <row r="214" spans="1:3">
      <c r="A214" t="s">
        <v>4044</v>
      </c>
      <c r="B214" t="str">
        <f>COUNTIF(Szamlaszamok!F:F,A214)</f>
      </c>
      <c r="C214" t="str">
        <f>INDEX(Szamlaszamok!E:E,MATCH(A214,Szamlaszamok!F:F,0))</f>
      </c>
    </row>
    <row r="215" spans="1:3">
      <c r="A215" t="s">
        <v>4045</v>
      </c>
      <c r="B215" t="str">
        <f>COUNTIF(Szamlaszamok!F:F,A215)</f>
      </c>
      <c r="C215" t="str">
        <f>INDEX(Szamlaszamok!E:E,MATCH(A215,Szamlaszamok!F:F,0))</f>
      </c>
    </row>
    <row r="216" spans="1:3">
      <c r="A216" t="s">
        <v>4050</v>
      </c>
      <c r="B216" t="str">
        <f>COUNTIF(Szamlaszamok!F:F,A216)</f>
      </c>
      <c r="C216" t="str">
        <f>INDEX(Szamlaszamok!E:E,MATCH(A216,Szamlaszamok!F:F,0))</f>
      </c>
    </row>
    <row r="217" spans="1:3">
      <c r="A217" t="s">
        <v>4054</v>
      </c>
      <c r="B217" t="str">
        <f>COUNTIF(Szamlaszamok!F:F,A217)</f>
      </c>
      <c r="C217" t="str">
        <f>INDEX(Szamlaszamok!E:E,MATCH(A217,Szamlaszamok!F:F,0))</f>
      </c>
    </row>
    <row r="218" spans="1:3">
      <c r="A218" t="s">
        <v>4059</v>
      </c>
      <c r="B218" t="str">
        <f>COUNTIF(Szamlaszamok!F:F,A218)</f>
      </c>
      <c r="C218" t="str">
        <f>INDEX(Szamlaszamok!E:E,MATCH(A218,Szamlaszamok!F:F,0))</f>
      </c>
    </row>
    <row r="219" spans="1:3">
      <c r="A219" t="s">
        <v>4071</v>
      </c>
      <c r="B219" t="str">
        <f>COUNTIF(Szamlaszamok!F:F,A219)</f>
      </c>
      <c r="C219" t="str">
        <f>INDEX(Szamlaszamok!E:E,MATCH(A219,Szamlaszamok!F:F,0))</f>
      </c>
    </row>
    <row r="220" spans="1:3">
      <c r="A220" t="s">
        <v>4084</v>
      </c>
      <c r="B220" t="str">
        <f>COUNTIF(Szamlaszamok!F:F,A220)</f>
      </c>
      <c r="C220" t="str">
        <f>INDEX(Szamlaszamok!E:E,MATCH(A220,Szamlaszamok!F:F,0))</f>
      </c>
    </row>
    <row r="221" spans="1:3">
      <c r="A221" t="s">
        <v>4096</v>
      </c>
      <c r="B221" t="str">
        <f>COUNTIF(Szamlaszamok!F:F,A221)</f>
      </c>
      <c r="C221" t="str">
        <f>INDEX(Szamlaszamok!E:E,MATCH(A221,Szamlaszamok!F:F,0))</f>
      </c>
    </row>
    <row r="222" spans="1:3">
      <c r="A222" t="s">
        <v>4101</v>
      </c>
      <c r="B222" t="str">
        <f>COUNTIF(Szamlaszamok!F:F,A222)</f>
      </c>
      <c r="C222" t="str">
        <f>INDEX(Szamlaszamok!E:E,MATCH(A222,Szamlaszamok!F:F,0))</f>
      </c>
    </row>
    <row r="223" spans="1:3">
      <c r="A223" t="s">
        <v>4105</v>
      </c>
      <c r="B223" t="str">
        <f>COUNTIF(Szamlaszamok!F:F,A223)</f>
      </c>
      <c r="C223" t="str">
        <f>INDEX(Szamlaszamok!E:E,MATCH(A223,Szamlaszamok!F:F,0))</f>
      </c>
    </row>
    <row r="224" spans="1:3">
      <c r="A224" t="s">
        <v>4124</v>
      </c>
      <c r="B224" t="str">
        <f>COUNTIF(Szamlaszamok!F:F,A224)</f>
      </c>
      <c r="C224" t="str">
        <f>INDEX(Szamlaszamok!E:E,MATCH(A224,Szamlaszamok!F:F,0))</f>
      </c>
    </row>
    <row r="225" spans="1:3">
      <c r="A225" t="s">
        <v>4136</v>
      </c>
      <c r="B225" t="str">
        <f>COUNTIF(Szamlaszamok!F:F,A225)</f>
      </c>
      <c r="C225" t="str">
        <f>INDEX(Szamlaszamok!E:E,MATCH(A225,Szamlaszamok!F:F,0))</f>
      </c>
    </row>
    <row r="226" spans="1:3">
      <c r="A226" t="s">
        <v>4146</v>
      </c>
      <c r="B226" t="str">
        <f>COUNTIF(Szamlaszamok!F:F,A226)</f>
      </c>
      <c r="C226" t="str">
        <f>INDEX(Szamlaszamok!E:E,MATCH(A226,Szamlaszamok!F:F,0))</f>
      </c>
    </row>
    <row r="227" spans="1:3">
      <c r="A227" t="s">
        <v>4158</v>
      </c>
      <c r="B227" t="str">
        <f>COUNTIF(Szamlaszamok!F:F,A227)</f>
      </c>
      <c r="C227" t="str">
        <f>INDEX(Szamlaszamok!E:E,MATCH(A227,Szamlaszamok!F:F,0))</f>
      </c>
    </row>
    <row r="228" spans="1:3">
      <c r="A228" t="s">
        <v>4187</v>
      </c>
      <c r="B228" t="str">
        <f>COUNTIF(Szamlaszamok!F:F,A228)</f>
      </c>
      <c r="C228" t="str">
        <f>INDEX(Szamlaszamok!E:E,MATCH(A228,Szamlaszamok!F:F,0))</f>
      </c>
    </row>
    <row r="229" spans="1:3">
      <c r="A229" t="s">
        <v>4192</v>
      </c>
      <c r="B229" t="str">
        <f>COUNTIF(Szamlaszamok!F:F,A229)</f>
      </c>
      <c r="C229" t="str">
        <f>INDEX(Szamlaszamok!E:E,MATCH(A229,Szamlaszamok!F:F,0))</f>
      </c>
    </row>
    <row r="230" spans="1:3">
      <c r="A230" t="s">
        <v>4203</v>
      </c>
      <c r="B230" t="str">
        <f>COUNTIF(Szamlaszamok!F:F,A230)</f>
      </c>
      <c r="C230" t="str">
        <f>INDEX(Szamlaszamok!E:E,MATCH(A230,Szamlaszamok!F:F,0))</f>
      </c>
    </row>
    <row r="231" spans="1:3">
      <c r="A231" t="s">
        <v>4224</v>
      </c>
      <c r="B231" t="str">
        <f>COUNTIF(Szamlaszamok!F:F,A231)</f>
      </c>
      <c r="C231" t="str">
        <f>INDEX(Szamlaszamok!E:E,MATCH(A231,Szamlaszamok!F:F,0))</f>
      </c>
    </row>
    <row r="232" spans="1:3">
      <c r="A232" t="s">
        <v>4248</v>
      </c>
      <c r="B232" t="str">
        <f>COUNTIF(Szamlaszamok!F:F,A232)</f>
      </c>
      <c r="C232" t="str">
        <f>INDEX(Szamlaszamok!E:E,MATCH(A232,Szamlaszamok!F:F,0))</f>
      </c>
    </row>
    <row r="233" spans="1:3">
      <c r="A233" t="s">
        <v>4252</v>
      </c>
      <c r="B233" t="str">
        <f>COUNTIF(Szamlaszamok!F:F,A233)</f>
      </c>
      <c r="C233" t="str">
        <f>INDEX(Szamlaszamok!E:E,MATCH(A233,Szamlaszamok!F:F,0))</f>
      </c>
    </row>
    <row r="234" spans="1:3">
      <c r="A234" t="s">
        <v>4256</v>
      </c>
      <c r="B234" t="str">
        <f>COUNTIF(Szamlaszamok!F:F,A234)</f>
      </c>
      <c r="C234" t="str">
        <f>INDEX(Szamlaszamok!E:E,MATCH(A234,Szamlaszamok!F:F,0))</f>
      </c>
    </row>
    <row r="235" spans="1:3">
      <c r="A235" t="s">
        <v>4261</v>
      </c>
      <c r="B235" t="str">
        <f>COUNTIF(Szamlaszamok!F:F,A235)</f>
      </c>
      <c r="C235" t="str">
        <f>INDEX(Szamlaszamok!E:E,MATCH(A235,Szamlaszamok!F:F,0))</f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Szamlaszamok</vt:lpstr>
      <vt:lpstr>Szamlaszamok_nonduplicate</vt:lpstr>
      <vt:lpstr>Vizsgalati_artetelek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Dugalin Marin</cp:lastModifiedBy>
  <dcterms:created xsi:type="dcterms:W3CDTF">2026-05-26T08:22:29+02:00</dcterms:created>
  <dcterms:modified xsi:type="dcterms:W3CDTF">2026-05-26T08:41:33+02:00</dcterms:modified>
  <dc:title/>
  <dc:description/>
  <dc:subject/>
  <cp:keywords/>
  <cp:category/>
</cp:coreProperties>
</file>